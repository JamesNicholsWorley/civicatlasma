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Election Preparation\Tally Sheets.xls\"/>
    </mc:Choice>
  </mc:AlternateContent>
  <bookViews>
    <workbookView xWindow="480" yWindow="45" windowWidth="11355" windowHeight="8445" activeTab="3"/>
  </bookViews>
  <sheets>
    <sheet name="Major Office" sheetId="1" r:id="rId1"/>
    <sheet name="TMMPR.1" sheetId="2" r:id="rId2"/>
    <sheet name="TMMPR.2" sheetId="3" r:id="rId3"/>
    <sheet name="TMMPR.3" sheetId="5" r:id="rId4"/>
    <sheet name="TMMPR.4" sheetId="6" r:id="rId5"/>
    <sheet name="TMMPR.5" sheetId="7" r:id="rId6"/>
    <sheet name="TMMPR.6" sheetId="8" r:id="rId7"/>
    <sheet name="TMMPR.7" sheetId="9" r:id="rId8"/>
    <sheet name="TMMPR.8" sheetId="10" r:id="rId9"/>
    <sheet name="TMMPR.9" sheetId="11" r:id="rId10"/>
    <sheet name="TMMPR.10" sheetId="12" r:id="rId11"/>
  </sheets>
  <calcPr calcId="162913"/>
</workbook>
</file>

<file path=xl/calcChain.xml><?xml version="1.0" encoding="utf-8"?>
<calcChain xmlns="http://schemas.openxmlformats.org/spreadsheetml/2006/main">
  <c r="C5" i="1" l="1"/>
  <c r="D5" i="1"/>
  <c r="E5" i="1"/>
  <c r="F5" i="1"/>
  <c r="G5" i="1"/>
  <c r="H5" i="1"/>
  <c r="I5" i="1"/>
  <c r="J5" i="1"/>
  <c r="K5" i="1"/>
  <c r="B5" i="1"/>
  <c r="L3" i="1"/>
  <c r="C38" i="1"/>
  <c r="D38" i="1"/>
  <c r="E38" i="1"/>
  <c r="F38" i="1"/>
  <c r="G38" i="1"/>
  <c r="H38" i="1"/>
  <c r="I38" i="1"/>
  <c r="J38" i="1"/>
  <c r="K38" i="1"/>
  <c r="B38" i="1"/>
  <c r="J23" i="1"/>
  <c r="K23" i="1"/>
  <c r="C23" i="1"/>
  <c r="D23" i="1"/>
  <c r="E23" i="1"/>
  <c r="F23" i="1"/>
  <c r="G23" i="1"/>
  <c r="H23" i="1"/>
  <c r="I23" i="1"/>
  <c r="B23" i="1"/>
  <c r="C14" i="1"/>
  <c r="D14" i="1"/>
  <c r="E14" i="1"/>
  <c r="F14" i="1"/>
  <c r="G14" i="1"/>
  <c r="H14" i="1"/>
  <c r="I14" i="1"/>
  <c r="J14" i="1"/>
  <c r="K14" i="1"/>
  <c r="B14" i="1"/>
  <c r="B32" i="9" l="1"/>
  <c r="B31" i="12" l="1"/>
  <c r="B32" i="11"/>
  <c r="B34" i="10"/>
  <c r="B32" i="8"/>
  <c r="B33" i="7"/>
  <c r="L27" i="1" l="1"/>
  <c r="L28" i="1"/>
  <c r="L26" i="1"/>
  <c r="K29" i="1"/>
  <c r="C29" i="1"/>
  <c r="D29" i="1"/>
  <c r="E29" i="1"/>
  <c r="F29" i="1"/>
  <c r="G29" i="1"/>
  <c r="H29" i="1"/>
  <c r="I29" i="1"/>
  <c r="J29" i="1"/>
  <c r="B29" i="1"/>
  <c r="L20" i="1"/>
  <c r="L10" i="1"/>
  <c r="L11" i="1"/>
  <c r="L29" i="1" l="1"/>
  <c r="B33" i="3" l="1"/>
  <c r="B35" i="2"/>
  <c r="L37" i="1"/>
  <c r="L36" i="1"/>
  <c r="L34" i="1"/>
  <c r="L33" i="1"/>
  <c r="L32" i="1"/>
  <c r="L22" i="1"/>
  <c r="L21" i="1"/>
  <c r="L19" i="1"/>
  <c r="L18" i="1"/>
  <c r="L17" i="1"/>
  <c r="L13" i="1"/>
  <c r="L12" i="1"/>
  <c r="L9" i="1"/>
  <c r="L4" i="1"/>
  <c r="L5" i="1" s="1"/>
  <c r="L38" i="1" l="1"/>
  <c r="L14" i="1"/>
  <c r="L23" i="1"/>
  <c r="B31" i="6"/>
  <c r="B18" i="5"/>
</calcChain>
</file>

<file path=xl/sharedStrings.xml><?xml version="1.0" encoding="utf-8"?>
<sst xmlns="http://schemas.openxmlformats.org/spreadsheetml/2006/main" count="344" uniqueCount="279">
  <si>
    <t>PR.2</t>
  </si>
  <si>
    <t>PR.1</t>
  </si>
  <si>
    <t>PR.3</t>
  </si>
  <si>
    <t>PR.4</t>
  </si>
  <si>
    <t>PR.5</t>
  </si>
  <si>
    <t>PR.6</t>
  </si>
  <si>
    <t>PR.7</t>
  </si>
  <si>
    <t>PR.8</t>
  </si>
  <si>
    <t>PR.9</t>
  </si>
  <si>
    <t>TOTAL</t>
  </si>
  <si>
    <t>Blank</t>
  </si>
  <si>
    <t xml:space="preserve">TOWN MEETING MEMBER </t>
  </si>
  <si>
    <t>PRECINCT ONE</t>
  </si>
  <si>
    <t>PRECINCT TWO</t>
  </si>
  <si>
    <t>TOWN MEETING MEMBER</t>
  </si>
  <si>
    <t>PRECINCT THREE</t>
  </si>
  <si>
    <t>PRECINCT FOUR</t>
  </si>
  <si>
    <t>PRECINCT FIVE</t>
  </si>
  <si>
    <t>PRECINCT SIX</t>
  </si>
  <si>
    <t>PRECINCT SEVEN</t>
  </si>
  <si>
    <t>PRECINCT EIGHT</t>
  </si>
  <si>
    <t>PRECINCT NINE</t>
  </si>
  <si>
    <t>PRECINCT TEN</t>
  </si>
  <si>
    <t>PR.10</t>
  </si>
  <si>
    <t>All Others</t>
  </si>
  <si>
    <t>Blanks</t>
  </si>
  <si>
    <t>Total Registered Voters</t>
  </si>
  <si>
    <t>Sanam H. Zaer</t>
  </si>
  <si>
    <t>Maurice M. DePalo</t>
  </si>
  <si>
    <t>Sandra M. Fryc</t>
  </si>
  <si>
    <t>Jeanne E. Pandiani</t>
  </si>
  <si>
    <t>Thomas A. Pitney</t>
  </si>
  <si>
    <t>Total</t>
  </si>
  <si>
    <t>Jonathan N. Wensky</t>
  </si>
  <si>
    <t>Deborah P. Lebeaux</t>
  </si>
  <si>
    <t>Maurice J. Boisvert</t>
  </si>
  <si>
    <t>Gene E. Buddenhagen</t>
  </si>
  <si>
    <t>Jason M. Costa</t>
  </si>
  <si>
    <t>Carol J. McWilliams</t>
  </si>
  <si>
    <t>Melanie K. Petrucci</t>
  </si>
  <si>
    <t>Richard Ricker</t>
  </si>
  <si>
    <t>John Wensky</t>
  </si>
  <si>
    <t>Ralph Iaccarino</t>
  </si>
  <si>
    <t>Donna Largess O’Connor</t>
  </si>
  <si>
    <t>David M. Sargent</t>
  </si>
  <si>
    <t>Gayle T. Vigeant</t>
  </si>
  <si>
    <t>Stephen A. Vigeant</t>
  </si>
  <si>
    <t>Peter N. Collins</t>
  </si>
  <si>
    <t>Martha P. Deering</t>
  </si>
  <si>
    <t>Kurt S. Hultgren</t>
  </si>
  <si>
    <t>Jesse Shaw</t>
  </si>
  <si>
    <t>Kris A. Vokes</t>
  </si>
  <si>
    <t>Kevin M. Flaherty</t>
  </si>
  <si>
    <t>Hannah E. Kane</t>
  </si>
  <si>
    <t>John I. Lebeaux</t>
  </si>
  <si>
    <t>B. Dale Magee</t>
  </si>
  <si>
    <t>Michael S. Nelson</t>
  </si>
  <si>
    <t>John R. Samia</t>
  </si>
  <si>
    <t>Kevin T. Byrne</t>
  </si>
  <si>
    <t>Karrah B. Ellis</t>
  </si>
  <si>
    <t>Henry J. Fitzgerald</t>
  </si>
  <si>
    <t>Michael Lapomardo</t>
  </si>
  <si>
    <t>Dawn M. Shannon</t>
  </si>
  <si>
    <t>Christopher G. Mehne</t>
  </si>
  <si>
    <t>Bruce C. Sullivan</t>
  </si>
  <si>
    <t>Vikramjit S. Chhabra</t>
  </si>
  <si>
    <t>Bretta M. Karp</t>
  </si>
  <si>
    <t>Kathleen Keohane</t>
  </si>
  <si>
    <t>Debra Page Mooney</t>
  </si>
  <si>
    <t>Shannon E. Wall</t>
  </si>
  <si>
    <t>Erin Hughes Canzano</t>
  </si>
  <si>
    <t>Joyce M. Danielson</t>
  </si>
  <si>
    <t>Roberta R. Goldman</t>
  </si>
  <si>
    <t>Robert D. Holland</t>
  </si>
  <si>
    <t>Viola S. Jefferson</t>
  </si>
  <si>
    <t>Stephen P. Trotto</t>
  </si>
  <si>
    <t>Stephen H. Walsh</t>
  </si>
  <si>
    <t>Diane L. Jones</t>
  </si>
  <si>
    <t>Steven R. Danielson</t>
  </si>
  <si>
    <t>Melisa A. Hollenback</t>
  </si>
  <si>
    <t>Judy M. Vedder</t>
  </si>
  <si>
    <t>Michelle K. Conlin</t>
  </si>
  <si>
    <t>Anthony J. Mastromatteo</t>
  </si>
  <si>
    <t>Sandra L. McManus</t>
  </si>
  <si>
    <t>Moira E. Miller</t>
  </si>
  <si>
    <t>SELECTMAN (2)</t>
  </si>
  <si>
    <t>Rajesh Uppalapati</t>
  </si>
  <si>
    <t>SCHOOL COMMITTEE (2)</t>
  </si>
  <si>
    <t>Lynsey M. Heffernan</t>
  </si>
  <si>
    <t>Erin M. Boucher</t>
  </si>
  <si>
    <t>Jennifer E. Luke</t>
  </si>
  <si>
    <t>SHREWSBURY HOUSING AUTHORITY (1)</t>
  </si>
  <si>
    <t>ANNUAL TOWN ELECTION - MAY 3, 2022</t>
  </si>
  <si>
    <t>TRUSTEES OF PUBLIC LIBRARY (3)</t>
  </si>
  <si>
    <t>Jeffrey M. Billingham</t>
  </si>
  <si>
    <t>Nancy P. Gilbert</t>
  </si>
  <si>
    <t>Noor U. Ali</t>
  </si>
  <si>
    <t>Gail Ann Aslanian</t>
  </si>
  <si>
    <t>Christa C. Duprey</t>
  </si>
  <si>
    <t>Bernard J. Forletta</t>
  </si>
  <si>
    <t>Carlos A. Garcia</t>
  </si>
  <si>
    <t>Maureen P. Harrington</t>
  </si>
  <si>
    <t>Erin B. Howard</t>
  </si>
  <si>
    <t>Benjamin T. Joseph</t>
  </si>
  <si>
    <t>Guinevere Molina</t>
  </si>
  <si>
    <t>April L. Prince</t>
  </si>
  <si>
    <t>Danielle Wolfus</t>
  </si>
  <si>
    <t>Mark Adler</t>
  </si>
  <si>
    <t>Kristin M. Oliveri</t>
  </si>
  <si>
    <t>Lawrence Ondovic</t>
  </si>
  <si>
    <t>Kimball S. Wyman</t>
  </si>
  <si>
    <t>Paul T. Zekos</t>
  </si>
  <si>
    <t>Andrew D. Cherniack</t>
  </si>
  <si>
    <t>Jason Q. Molina</t>
  </si>
  <si>
    <t>ANNUAL TOWN ELECTION -MAY 3, 2022</t>
  </si>
  <si>
    <t>John Cygielnik</t>
  </si>
  <si>
    <t>Charles Garabedian, Jr.</t>
  </si>
  <si>
    <t>Dadene M. Gonet</t>
  </si>
  <si>
    <t xml:space="preserve">David W. Lambert    </t>
  </si>
  <si>
    <t xml:space="preserve">Andrew S. Nelson   </t>
  </si>
  <si>
    <t>Mahesh R. Reshamwala</t>
  </si>
  <si>
    <t>Jordan J. Rubin</t>
  </si>
  <si>
    <t>Joseph K. Samara</t>
  </si>
  <si>
    <t>Jodi A. Vizzo</t>
  </si>
  <si>
    <t>Shari L. Fox</t>
  </si>
  <si>
    <t>Karen M. Freker</t>
  </si>
  <si>
    <t>Lisa J. Papazian</t>
  </si>
  <si>
    <t>Mary Ann Preskul-Ricca</t>
  </si>
  <si>
    <t>Joanne Derrico</t>
  </si>
  <si>
    <t>Jennifer M. Litchfield</t>
  </si>
  <si>
    <t>Francis A. Mannella, Jr.</t>
  </si>
  <si>
    <t>Gregory Costa</t>
  </si>
  <si>
    <t>Hector L. Cruz, Jr.</t>
  </si>
  <si>
    <t>Joseph T. Dyer, Jr.</t>
  </si>
  <si>
    <t>Lynne Detarando Grden</t>
  </si>
  <si>
    <t>Jonathan S. Mack</t>
  </si>
  <si>
    <t>Christine T. Mattero</t>
  </si>
  <si>
    <t>James McKiernan, Jr.</t>
  </si>
  <si>
    <t>Roger E. Pedersen</t>
  </si>
  <si>
    <t>Linda J. Sarkisian</t>
  </si>
  <si>
    <t>Allyn C. Taylor, III</t>
  </si>
  <si>
    <t xml:space="preserve">Geetanjali Virmani   </t>
  </si>
  <si>
    <t>Diana R. Bowley</t>
  </si>
  <si>
    <t>Gaurav Dixit</t>
  </si>
  <si>
    <t>Rachel Kleiman-Wexler</t>
  </si>
  <si>
    <t>Samantha E. Snyder-Hawke</t>
  </si>
  <si>
    <t>Eirinn J. Campaniello</t>
  </si>
  <si>
    <t>Adam J. Candela</t>
  </si>
  <si>
    <t>Robert H. Dumas</t>
  </si>
  <si>
    <t>Joan Elaine Ethier</t>
  </si>
  <si>
    <t xml:space="preserve">Caitlin E. Kane   </t>
  </si>
  <si>
    <t>Madison C. Kane</t>
  </si>
  <si>
    <t>John F. Knipe, Jr.</t>
  </si>
  <si>
    <t xml:space="preserve">Amanda R. Luyster  </t>
  </si>
  <si>
    <t>Melanie Magee</t>
  </si>
  <si>
    <t>L. Patrick Pitney</t>
  </si>
  <si>
    <t>James E. Stencel</t>
  </si>
  <si>
    <t>Michael Vescere</t>
  </si>
  <si>
    <t>Brian E. Farrell</t>
  </si>
  <si>
    <t>Magdiely Farrell</t>
  </si>
  <si>
    <t>Jeanne A. Petrangelo</t>
  </si>
  <si>
    <t>John H. Petrangelo</t>
  </si>
  <si>
    <t>Lee C. Abdella</t>
  </si>
  <si>
    <t>Paul M. Campaniello</t>
  </si>
  <si>
    <t>Mary K. Courtemanche</t>
  </si>
  <si>
    <t>Stephen Fishman</t>
  </si>
  <si>
    <t>Neil T. Heffernan III</t>
  </si>
  <si>
    <t>Katherine K. Lowrie</t>
  </si>
  <si>
    <t>Marcia E. Pereira</t>
  </si>
  <si>
    <t>Jonathan C. Ricker</t>
  </si>
  <si>
    <t>Gail A. Sokolowski</t>
  </si>
  <si>
    <t xml:space="preserve">Lisa J. Steele    </t>
  </si>
  <si>
    <t>Carol C. Swydan</t>
  </si>
  <si>
    <t>Elaine M. Vadenais</t>
  </si>
  <si>
    <t>Autumn M. Hotaling</t>
  </si>
  <si>
    <t>Hillary B. King</t>
  </si>
  <si>
    <t xml:space="preserve">Fotoun Albach           </t>
  </si>
  <si>
    <t>Ann Marie Cairns</t>
  </si>
  <si>
    <t xml:space="preserve">Theresa Flynn        </t>
  </si>
  <si>
    <t xml:space="preserve">Brian E. Gemborys </t>
  </si>
  <si>
    <t>Lisa N. Hurter</t>
  </si>
  <si>
    <t xml:space="preserve">Patricia J. Minton  </t>
  </si>
  <si>
    <t>Dina A. Nichols</t>
  </si>
  <si>
    <t>Denis M. O’Connell</t>
  </si>
  <si>
    <t>Christopher P. Rutigliano, Sr.</t>
  </si>
  <si>
    <t>Erin T. Ryan</t>
  </si>
  <si>
    <t xml:space="preserve">Robert H. Ryan  </t>
  </si>
  <si>
    <t>Dale W. Schaetzke</t>
  </si>
  <si>
    <t>Michael J. Thompson</t>
  </si>
  <si>
    <t xml:space="preserve">Sanam H. Zaer </t>
  </si>
  <si>
    <t>Bridgette L. Hylton</t>
  </si>
  <si>
    <t>Karyn L. Rossacci</t>
  </si>
  <si>
    <t>Deborah M. Scannell-Nelson</t>
  </si>
  <si>
    <t>William J. Shine</t>
  </si>
  <si>
    <t>Thea K. Tobin</t>
  </si>
  <si>
    <t>Annemarie Cronin Bird</t>
  </si>
  <si>
    <t>Brenda M. Brown</t>
  </si>
  <si>
    <t>Lisa A. Bruschi</t>
  </si>
  <si>
    <t>Beth Shea Bryant</t>
  </si>
  <si>
    <t xml:space="preserve">Andrea P. Collins  </t>
  </si>
  <si>
    <t>Deborah L. DelDotto</t>
  </si>
  <si>
    <t xml:space="preserve">Martha J. Gannon  </t>
  </si>
  <si>
    <t xml:space="preserve">Max G. German  </t>
  </si>
  <si>
    <t>William P. Gooley</t>
  </si>
  <si>
    <t>Stephen G. Hess</t>
  </si>
  <si>
    <t>Elizabeth O. McCollum</t>
  </si>
  <si>
    <t>Kathleen C. McSweeney</t>
  </si>
  <si>
    <t xml:space="preserve">Kristina M. Palomba    </t>
  </si>
  <si>
    <t>Lynne M. Perreault</t>
  </si>
  <si>
    <t>Robert J. Wiggin</t>
  </si>
  <si>
    <t>Anne Duffy</t>
  </si>
  <si>
    <t>Kimberly A. Olsen</t>
  </si>
  <si>
    <t>Elizabeth R. Powers</t>
  </si>
  <si>
    <t xml:space="preserve">Tracy M. Quinn McLennan            </t>
  </si>
  <si>
    <t>Suzanne C. Remington</t>
  </si>
  <si>
    <t>Stephen T. Scott</t>
  </si>
  <si>
    <t>Jill P. Wensky</t>
  </si>
  <si>
    <t>Mark C. Willingham</t>
  </si>
  <si>
    <t>Phillip P. Blumberg</t>
  </si>
  <si>
    <t>Milind S. Kanitkar</t>
  </si>
  <si>
    <t>Poornima Sudumbrekar</t>
  </si>
  <si>
    <t>Meghan Inez Vincent</t>
  </si>
  <si>
    <t>Beth N. Casavant</t>
  </si>
  <si>
    <t>Jason Palitsch</t>
  </si>
  <si>
    <t>Jonjy A. Ananth</t>
  </si>
  <si>
    <t>Michelle Y. Biscotti</t>
  </si>
  <si>
    <t>Ambreen S. Chaudhary</t>
  </si>
  <si>
    <t>Saqib N. Chaudhary</t>
  </si>
  <si>
    <t>Patrick Convery</t>
  </si>
  <si>
    <t>Colleen M. Corbett</t>
  </si>
  <si>
    <t>Robert A. Cox</t>
  </si>
  <si>
    <t xml:space="preserve">Martha Hall Gach    </t>
  </si>
  <si>
    <t>Donald A. Hutchins</t>
  </si>
  <si>
    <t>John J. Manzi</t>
  </si>
  <si>
    <t>Nancy L. Nelson</t>
  </si>
  <si>
    <t xml:space="preserve">Atif S. Rao       </t>
  </si>
  <si>
    <t>Altaf Ahmed</t>
  </si>
  <si>
    <t>Kevin P. McLaughlin</t>
  </si>
  <si>
    <t>Stephanie A. Muzzy</t>
  </si>
  <si>
    <t>Jennifer Parshall</t>
  </si>
  <si>
    <t>3,2,1 YEAR TERMS (25)</t>
  </si>
  <si>
    <t>3,2,1 YEAR TERMS (24)</t>
  </si>
  <si>
    <t>3,2,1 YEAR TERMS  (24)</t>
  </si>
  <si>
    <t>3,2,1 YEAR TERMS (23)</t>
  </si>
  <si>
    <t>Ballots Cast</t>
  </si>
  <si>
    <t>Percentage Voted</t>
  </si>
  <si>
    <t>AnneMarie Cronin Bird</t>
  </si>
  <si>
    <t>Martha M. Odone</t>
  </si>
  <si>
    <t>Shawn Odone</t>
  </si>
  <si>
    <t>Michael Vizzo</t>
  </si>
  <si>
    <t>Thomas Luby</t>
  </si>
  <si>
    <t>Stephen R. Meola</t>
  </si>
  <si>
    <t>Michael L. Jasinski</t>
  </si>
  <si>
    <t>Wendy Ziesemann</t>
  </si>
  <si>
    <t>3,2,1 YEAR TERMS  (25)</t>
  </si>
  <si>
    <t>Gianna E. Polito</t>
  </si>
  <si>
    <t>Diana Karas</t>
  </si>
  <si>
    <t>Irene McBride Polito</t>
  </si>
  <si>
    <t>Carissa M. Ford</t>
  </si>
  <si>
    <t>Debra J. Belanger</t>
  </si>
  <si>
    <t>Madup Mishra</t>
  </si>
  <si>
    <t>Shripad Nandurbakar</t>
  </si>
  <si>
    <t>Rajeev V. Pappu</t>
  </si>
  <si>
    <t>Jennie N. Fishman</t>
  </si>
  <si>
    <t>Andrew Heisen</t>
  </si>
  <si>
    <t>Jennifer B. Adams</t>
  </si>
  <si>
    <t>Pankaj Adaval</t>
  </si>
  <si>
    <t>Jagrut Desai</t>
  </si>
  <si>
    <t>Ryan M. Newell</t>
  </si>
  <si>
    <t>Rahul Razdan</t>
  </si>
  <si>
    <t>Ramesh Razdan</t>
  </si>
  <si>
    <t>Sunita Razdan</t>
  </si>
  <si>
    <t>Anand Sharmal</t>
  </si>
  <si>
    <t>Vijay L. Jain</t>
  </si>
  <si>
    <t>Thomas HR Moore</t>
  </si>
  <si>
    <t>Timothy Riordan</t>
  </si>
  <si>
    <t>Robert Krey</t>
  </si>
  <si>
    <t>Shima W. Khan</t>
  </si>
  <si>
    <t>3 YEAR TERMS 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</si>
</sst>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vertical="center" wrapText="1"/>
    </xf>
    <xf numFmtId="0" fontId="1" fillId="0" borderId="0" xfId="0" applyFont="1" applyAlignme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xSplit="1" ySplit="7" topLeftCell="B8" activePane="bottomRight" state="frozen"/>
      <selection pane="topRight" activeCell="B1" sqref="B1"/>
      <selection pane="bottomLeft" activeCell="A6" sqref="A6"/>
      <selection pane="bottomRight" activeCell="A25" sqref="A25:L29"/>
    </sheetView>
  </sheetViews>
  <sheetFormatPr defaultRowHeight="12.75" x14ac:dyDescent="0.2"/>
  <cols>
    <col min="1" max="1" width="37.42578125" customWidth="1"/>
    <col min="2" max="11" width="7.28515625" customWidth="1"/>
  </cols>
  <sheetData>
    <row r="1" spans="1:12" x14ac:dyDescent="0.2">
      <c r="A1" s="13" t="s">
        <v>92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">
      <c r="A3" s="3" t="s">
        <v>244</v>
      </c>
      <c r="B3" s="10">
        <v>526</v>
      </c>
      <c r="C3" s="10">
        <v>319</v>
      </c>
      <c r="D3" s="10">
        <v>201</v>
      </c>
      <c r="E3" s="10">
        <v>391</v>
      </c>
      <c r="F3" s="10">
        <v>368</v>
      </c>
      <c r="G3" s="10">
        <v>453</v>
      </c>
      <c r="H3" s="10">
        <v>483</v>
      </c>
      <c r="I3" s="10">
        <v>532</v>
      </c>
      <c r="J3" s="10">
        <v>322</v>
      </c>
      <c r="K3" s="10">
        <v>393</v>
      </c>
      <c r="L3" s="10">
        <f t="shared" ref="L3" si="0">SUM(B3:K3)</f>
        <v>3988</v>
      </c>
    </row>
    <row r="4" spans="1:12" s="5" customFormat="1" x14ac:dyDescent="0.2">
      <c r="A4" s="3" t="s">
        <v>26</v>
      </c>
      <c r="B4" s="3">
        <v>2807</v>
      </c>
      <c r="C4" s="3">
        <v>2577</v>
      </c>
      <c r="D4" s="3">
        <v>2262</v>
      </c>
      <c r="E4" s="3">
        <v>2662</v>
      </c>
      <c r="F4" s="3">
        <v>2386</v>
      </c>
      <c r="G4" s="3">
        <v>2581</v>
      </c>
      <c r="H4" s="3">
        <v>2813</v>
      </c>
      <c r="I4" s="3">
        <v>2960</v>
      </c>
      <c r="J4" s="3">
        <v>1912</v>
      </c>
      <c r="K4" s="3">
        <v>2504</v>
      </c>
      <c r="L4" s="6">
        <f t="shared" ref="L4" si="1">SUM(B4:K4)</f>
        <v>25464</v>
      </c>
    </row>
    <row r="5" spans="1:12" x14ac:dyDescent="0.2">
      <c r="A5" s="3" t="s">
        <v>245</v>
      </c>
      <c r="B5" s="4">
        <f t="shared" ref="B5:L5" si="2">B3/B4</f>
        <v>0.18738867117919486</v>
      </c>
      <c r="C5" s="4">
        <f t="shared" si="2"/>
        <v>0.12378734963135429</v>
      </c>
      <c r="D5" s="4">
        <f t="shared" si="2"/>
        <v>8.885941644562334E-2</v>
      </c>
      <c r="E5" s="4">
        <f t="shared" si="2"/>
        <v>0.14688204357625845</v>
      </c>
      <c r="F5" s="4">
        <f t="shared" si="2"/>
        <v>0.15423302598491198</v>
      </c>
      <c r="G5" s="4">
        <f t="shared" si="2"/>
        <v>0.17551336691204961</v>
      </c>
      <c r="H5" s="4">
        <f t="shared" si="2"/>
        <v>0.17170280838961963</v>
      </c>
      <c r="I5" s="4">
        <f t="shared" si="2"/>
        <v>0.17972972972972973</v>
      </c>
      <c r="J5" s="4">
        <f t="shared" si="2"/>
        <v>0.16841004184100419</v>
      </c>
      <c r="K5" s="4">
        <f t="shared" si="2"/>
        <v>0.15694888178913738</v>
      </c>
      <c r="L5" s="4">
        <f t="shared" si="2"/>
        <v>0.15661325793276784</v>
      </c>
    </row>
    <row r="7" spans="1:12" s="5" customFormat="1" x14ac:dyDescent="0.2">
      <c r="B7" s="3" t="s">
        <v>1</v>
      </c>
      <c r="C7" s="3" t="s">
        <v>0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23</v>
      </c>
      <c r="L7" s="3" t="s">
        <v>9</v>
      </c>
    </row>
    <row r="8" spans="1:12" x14ac:dyDescent="0.2">
      <c r="A8" s="1" t="s">
        <v>85</v>
      </c>
    </row>
    <row r="9" spans="1:12" x14ac:dyDescent="0.2">
      <c r="A9" s="1" t="s">
        <v>57</v>
      </c>
      <c r="B9">
        <v>324</v>
      </c>
      <c r="C9">
        <v>184</v>
      </c>
      <c r="D9">
        <v>118</v>
      </c>
      <c r="E9">
        <v>170</v>
      </c>
      <c r="F9">
        <v>228</v>
      </c>
      <c r="G9">
        <v>266</v>
      </c>
      <c r="H9">
        <v>301</v>
      </c>
      <c r="I9">
        <v>347</v>
      </c>
      <c r="J9">
        <v>147</v>
      </c>
      <c r="K9">
        <v>208</v>
      </c>
      <c r="L9" s="1">
        <f t="shared" ref="L9:L13" si="3">SUM(B9:K9)</f>
        <v>2293</v>
      </c>
    </row>
    <row r="10" spans="1:12" x14ac:dyDescent="0.2">
      <c r="A10" s="1" t="s">
        <v>81</v>
      </c>
      <c r="B10">
        <v>312</v>
      </c>
      <c r="C10">
        <v>177</v>
      </c>
      <c r="D10">
        <v>107</v>
      </c>
      <c r="E10">
        <v>197</v>
      </c>
      <c r="F10">
        <v>229</v>
      </c>
      <c r="G10">
        <v>305</v>
      </c>
      <c r="H10">
        <v>298</v>
      </c>
      <c r="I10">
        <v>338</v>
      </c>
      <c r="J10">
        <v>124</v>
      </c>
      <c r="K10">
        <v>236</v>
      </c>
      <c r="L10" s="1">
        <f t="shared" si="3"/>
        <v>2323</v>
      </c>
    </row>
    <row r="11" spans="1:12" x14ac:dyDescent="0.2">
      <c r="A11" s="2" t="s">
        <v>86</v>
      </c>
      <c r="B11">
        <v>224</v>
      </c>
      <c r="C11">
        <v>153</v>
      </c>
      <c r="D11">
        <v>92</v>
      </c>
      <c r="E11">
        <v>243</v>
      </c>
      <c r="F11">
        <v>150</v>
      </c>
      <c r="G11">
        <v>188</v>
      </c>
      <c r="H11">
        <v>193</v>
      </c>
      <c r="I11">
        <v>179</v>
      </c>
      <c r="J11">
        <v>212</v>
      </c>
      <c r="K11">
        <v>186</v>
      </c>
      <c r="L11" s="1">
        <f t="shared" si="3"/>
        <v>1820</v>
      </c>
    </row>
    <row r="12" spans="1:12" x14ac:dyDescent="0.2">
      <c r="A12" s="2" t="s">
        <v>24</v>
      </c>
      <c r="B12">
        <v>1</v>
      </c>
      <c r="C12">
        <v>2</v>
      </c>
      <c r="D12">
        <v>0</v>
      </c>
      <c r="E12">
        <v>3</v>
      </c>
      <c r="F12">
        <v>0</v>
      </c>
      <c r="G12">
        <v>1</v>
      </c>
      <c r="H12">
        <v>1</v>
      </c>
      <c r="I12">
        <v>1</v>
      </c>
      <c r="J12">
        <v>2</v>
      </c>
      <c r="K12">
        <v>3</v>
      </c>
      <c r="L12" s="1">
        <f t="shared" si="3"/>
        <v>14</v>
      </c>
    </row>
    <row r="13" spans="1:12" x14ac:dyDescent="0.2">
      <c r="A13" s="2" t="s">
        <v>10</v>
      </c>
      <c r="B13">
        <v>191</v>
      </c>
      <c r="C13">
        <v>122</v>
      </c>
      <c r="D13">
        <v>85</v>
      </c>
      <c r="E13">
        <v>169</v>
      </c>
      <c r="F13">
        <v>129</v>
      </c>
      <c r="G13">
        <v>146</v>
      </c>
      <c r="H13">
        <v>173</v>
      </c>
      <c r="I13">
        <v>199</v>
      </c>
      <c r="J13">
        <v>159</v>
      </c>
      <c r="K13">
        <v>153</v>
      </c>
      <c r="L13" s="1">
        <f t="shared" si="3"/>
        <v>1526</v>
      </c>
    </row>
    <row r="14" spans="1:12" x14ac:dyDescent="0.2">
      <c r="A14" s="1" t="s">
        <v>32</v>
      </c>
      <c r="B14" s="1">
        <f>SUM(B9:B13)</f>
        <v>1052</v>
      </c>
      <c r="C14" s="1">
        <f t="shared" ref="C14:L14" si="4">SUM(C9:C13)</f>
        <v>638</v>
      </c>
      <c r="D14" s="1">
        <f t="shared" si="4"/>
        <v>402</v>
      </c>
      <c r="E14" s="1">
        <f t="shared" si="4"/>
        <v>782</v>
      </c>
      <c r="F14" s="1">
        <f t="shared" si="4"/>
        <v>736</v>
      </c>
      <c r="G14" s="1">
        <f t="shared" si="4"/>
        <v>906</v>
      </c>
      <c r="H14" s="1">
        <f t="shared" si="4"/>
        <v>966</v>
      </c>
      <c r="I14" s="1">
        <f t="shared" si="4"/>
        <v>1064</v>
      </c>
      <c r="J14" s="1">
        <f t="shared" si="4"/>
        <v>644</v>
      </c>
      <c r="K14" s="1">
        <f t="shared" si="4"/>
        <v>786</v>
      </c>
      <c r="L14" s="1">
        <f t="shared" si="4"/>
        <v>7976</v>
      </c>
    </row>
    <row r="15" spans="1:12" x14ac:dyDescent="0.2">
      <c r="A15" s="2"/>
    </row>
    <row r="16" spans="1:12" x14ac:dyDescent="0.2">
      <c r="A16" s="1" t="s">
        <v>87</v>
      </c>
    </row>
    <row r="17" spans="1:12" x14ac:dyDescent="0.2">
      <c r="A17" s="1" t="s">
        <v>88</v>
      </c>
      <c r="B17">
        <v>312</v>
      </c>
      <c r="C17">
        <v>152</v>
      </c>
      <c r="D17">
        <v>93</v>
      </c>
      <c r="E17">
        <v>167</v>
      </c>
      <c r="F17">
        <v>165</v>
      </c>
      <c r="G17">
        <v>257</v>
      </c>
      <c r="H17">
        <v>234</v>
      </c>
      <c r="I17">
        <v>259</v>
      </c>
      <c r="J17">
        <v>124</v>
      </c>
      <c r="K17">
        <v>202</v>
      </c>
      <c r="L17" s="1">
        <f t="shared" ref="L17:L22" si="5">SUM(B17:K17)</f>
        <v>1965</v>
      </c>
    </row>
    <row r="18" spans="1:12" x14ac:dyDescent="0.2">
      <c r="A18" s="1" t="s">
        <v>89</v>
      </c>
      <c r="B18">
        <v>284</v>
      </c>
      <c r="C18">
        <v>150</v>
      </c>
      <c r="D18">
        <v>92</v>
      </c>
      <c r="E18">
        <v>162</v>
      </c>
      <c r="F18">
        <v>188</v>
      </c>
      <c r="G18">
        <v>224</v>
      </c>
      <c r="H18">
        <v>280</v>
      </c>
      <c r="I18">
        <v>333</v>
      </c>
      <c r="J18">
        <v>124</v>
      </c>
      <c r="K18">
        <v>178</v>
      </c>
      <c r="L18" s="1">
        <f t="shared" si="5"/>
        <v>2015</v>
      </c>
    </row>
    <row r="19" spans="1:12" x14ac:dyDescent="0.2">
      <c r="A19" s="2" t="s">
        <v>90</v>
      </c>
      <c r="B19">
        <v>153</v>
      </c>
      <c r="C19">
        <v>109</v>
      </c>
      <c r="D19">
        <v>77</v>
      </c>
      <c r="E19">
        <v>173</v>
      </c>
      <c r="F19">
        <v>131</v>
      </c>
      <c r="G19">
        <v>136</v>
      </c>
      <c r="H19">
        <v>136</v>
      </c>
      <c r="I19">
        <v>124</v>
      </c>
      <c r="J19">
        <v>110</v>
      </c>
      <c r="K19">
        <v>125</v>
      </c>
      <c r="L19" s="1">
        <f t="shared" si="5"/>
        <v>1274</v>
      </c>
    </row>
    <row r="20" spans="1:12" x14ac:dyDescent="0.2">
      <c r="A20" s="2" t="s">
        <v>27</v>
      </c>
      <c r="B20">
        <v>105</v>
      </c>
      <c r="C20">
        <v>101</v>
      </c>
      <c r="D20">
        <v>48</v>
      </c>
      <c r="E20">
        <v>123</v>
      </c>
      <c r="F20">
        <v>106</v>
      </c>
      <c r="G20">
        <v>120</v>
      </c>
      <c r="H20">
        <v>152</v>
      </c>
      <c r="I20">
        <v>132</v>
      </c>
      <c r="J20">
        <v>117</v>
      </c>
      <c r="K20">
        <v>131</v>
      </c>
      <c r="L20" s="1">
        <f t="shared" si="5"/>
        <v>1135</v>
      </c>
    </row>
    <row r="21" spans="1:12" x14ac:dyDescent="0.2">
      <c r="A21" s="2" t="s">
        <v>24</v>
      </c>
      <c r="B21">
        <v>0</v>
      </c>
      <c r="C21">
        <v>2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2</v>
      </c>
      <c r="K21">
        <v>0</v>
      </c>
      <c r="L21" s="1">
        <f t="shared" si="5"/>
        <v>6</v>
      </c>
    </row>
    <row r="22" spans="1:12" x14ac:dyDescent="0.2">
      <c r="A22" s="2" t="s">
        <v>10</v>
      </c>
      <c r="B22">
        <v>198</v>
      </c>
      <c r="C22">
        <v>124</v>
      </c>
      <c r="D22">
        <v>92</v>
      </c>
      <c r="E22">
        <v>156</v>
      </c>
      <c r="F22">
        <v>146</v>
      </c>
      <c r="G22">
        <v>169</v>
      </c>
      <c r="H22">
        <v>163</v>
      </c>
      <c r="I22">
        <v>216</v>
      </c>
      <c r="J22">
        <v>167</v>
      </c>
      <c r="K22">
        <v>150</v>
      </c>
      <c r="L22" s="1">
        <f t="shared" si="5"/>
        <v>1581</v>
      </c>
    </row>
    <row r="23" spans="1:12" x14ac:dyDescent="0.2">
      <c r="A23" s="1" t="s">
        <v>32</v>
      </c>
      <c r="B23" s="1">
        <f>SUM(B17:B22)</f>
        <v>1052</v>
      </c>
      <c r="C23" s="1">
        <f t="shared" ref="C23:I23" si="6">SUM(C17:C22)</f>
        <v>638</v>
      </c>
      <c r="D23" s="1">
        <f t="shared" si="6"/>
        <v>402</v>
      </c>
      <c r="E23" s="1">
        <f t="shared" si="6"/>
        <v>782</v>
      </c>
      <c r="F23" s="1">
        <f t="shared" si="6"/>
        <v>736</v>
      </c>
      <c r="G23" s="1">
        <f t="shared" si="6"/>
        <v>906</v>
      </c>
      <c r="H23" s="1">
        <f t="shared" si="6"/>
        <v>966</v>
      </c>
      <c r="I23" s="1">
        <f t="shared" si="6"/>
        <v>1064</v>
      </c>
      <c r="J23" s="1">
        <f t="shared" ref="J23" si="7">SUM(J17:J22)</f>
        <v>644</v>
      </c>
      <c r="K23" s="1">
        <f t="shared" ref="K23" si="8">SUM(K17:K22)</f>
        <v>786</v>
      </c>
      <c r="L23" s="1">
        <f t="shared" ref="L23" si="9">SUM(L17:L22)</f>
        <v>7976</v>
      </c>
    </row>
    <row r="24" spans="1:12" x14ac:dyDescent="0.2">
      <c r="A24" s="2"/>
    </row>
    <row r="25" spans="1:12" x14ac:dyDescent="0.2">
      <c r="A25" s="1" t="s">
        <v>91</v>
      </c>
    </row>
    <row r="26" spans="1:12" x14ac:dyDescent="0.2">
      <c r="A26" s="1" t="s">
        <v>40</v>
      </c>
      <c r="B26">
        <v>375</v>
      </c>
      <c r="C26">
        <v>234</v>
      </c>
      <c r="D26">
        <v>154</v>
      </c>
      <c r="E26">
        <v>280</v>
      </c>
      <c r="F26">
        <v>239</v>
      </c>
      <c r="G26">
        <v>302</v>
      </c>
      <c r="H26">
        <v>324</v>
      </c>
      <c r="I26">
        <v>364</v>
      </c>
      <c r="J26">
        <v>233</v>
      </c>
      <c r="K26">
        <v>264</v>
      </c>
      <c r="L26" s="1">
        <f t="shared" ref="L26:L28" si="10">SUM(B26:K26)</f>
        <v>2769</v>
      </c>
    </row>
    <row r="27" spans="1:12" x14ac:dyDescent="0.2">
      <c r="A27" s="2" t="s">
        <v>24</v>
      </c>
      <c r="B27">
        <v>0</v>
      </c>
      <c r="C27">
        <v>2</v>
      </c>
      <c r="D27">
        <v>0</v>
      </c>
      <c r="E27">
        <v>5</v>
      </c>
      <c r="F27">
        <v>2</v>
      </c>
      <c r="G27">
        <v>3</v>
      </c>
      <c r="H27">
        <v>3</v>
      </c>
      <c r="I27">
        <v>4</v>
      </c>
      <c r="J27">
        <v>0</v>
      </c>
      <c r="K27">
        <v>3</v>
      </c>
      <c r="L27" s="1">
        <f t="shared" si="10"/>
        <v>22</v>
      </c>
    </row>
    <row r="28" spans="1:12" x14ac:dyDescent="0.2">
      <c r="A28" s="2" t="s">
        <v>10</v>
      </c>
      <c r="B28">
        <v>151</v>
      </c>
      <c r="C28">
        <v>83</v>
      </c>
      <c r="D28">
        <v>47</v>
      </c>
      <c r="E28">
        <v>106</v>
      </c>
      <c r="F28">
        <v>127</v>
      </c>
      <c r="G28">
        <v>148</v>
      </c>
      <c r="H28">
        <v>156</v>
      </c>
      <c r="I28">
        <v>164</v>
      </c>
      <c r="J28">
        <v>89</v>
      </c>
      <c r="K28">
        <v>126</v>
      </c>
      <c r="L28" s="1">
        <f t="shared" si="10"/>
        <v>1197</v>
      </c>
    </row>
    <row r="29" spans="1:12" x14ac:dyDescent="0.2">
      <c r="A29" s="1" t="s">
        <v>32</v>
      </c>
      <c r="B29" s="1">
        <f>SUM(B26:B28)</f>
        <v>526</v>
      </c>
      <c r="C29" s="1">
        <f t="shared" ref="C29:J29" si="11">SUM(C26:C28)</f>
        <v>319</v>
      </c>
      <c r="D29" s="1">
        <f t="shared" si="11"/>
        <v>201</v>
      </c>
      <c r="E29" s="1">
        <f t="shared" si="11"/>
        <v>391</v>
      </c>
      <c r="F29" s="1">
        <f t="shared" si="11"/>
        <v>368</v>
      </c>
      <c r="G29" s="1">
        <f t="shared" si="11"/>
        <v>453</v>
      </c>
      <c r="H29" s="1">
        <f t="shared" si="11"/>
        <v>483</v>
      </c>
      <c r="I29" s="1">
        <f t="shared" si="11"/>
        <v>532</v>
      </c>
      <c r="J29" s="1">
        <f t="shared" si="11"/>
        <v>322</v>
      </c>
      <c r="K29" s="1">
        <f>SUM(K26:K28)</f>
        <v>393</v>
      </c>
      <c r="L29" s="1">
        <f>SUM(L26:L28)</f>
        <v>3988</v>
      </c>
    </row>
    <row r="30" spans="1:12" x14ac:dyDescent="0.2">
      <c r="A30" s="2"/>
    </row>
    <row r="31" spans="1:12" x14ac:dyDescent="0.2">
      <c r="A31" s="1" t="s">
        <v>93</v>
      </c>
    </row>
    <row r="32" spans="1:12" x14ac:dyDescent="0.2">
      <c r="A32" s="1" t="s">
        <v>94</v>
      </c>
      <c r="B32">
        <v>300</v>
      </c>
      <c r="C32">
        <v>204</v>
      </c>
      <c r="D32">
        <v>126</v>
      </c>
      <c r="E32">
        <v>215</v>
      </c>
      <c r="F32">
        <v>205</v>
      </c>
      <c r="G32">
        <v>269</v>
      </c>
      <c r="H32">
        <v>277</v>
      </c>
      <c r="I32">
        <v>331</v>
      </c>
      <c r="J32">
        <v>187</v>
      </c>
      <c r="K32">
        <v>217</v>
      </c>
      <c r="L32" s="1">
        <f t="shared" ref="L32:L37" si="12">SUM(B32:K32)</f>
        <v>2331</v>
      </c>
    </row>
    <row r="33" spans="1:12" x14ac:dyDescent="0.2">
      <c r="A33" s="1" t="s">
        <v>95</v>
      </c>
      <c r="B33">
        <v>314</v>
      </c>
      <c r="C33">
        <v>209</v>
      </c>
      <c r="D33">
        <v>122</v>
      </c>
      <c r="E33">
        <v>226</v>
      </c>
      <c r="F33">
        <v>220</v>
      </c>
      <c r="G33">
        <v>279</v>
      </c>
      <c r="H33">
        <v>267</v>
      </c>
      <c r="I33">
        <v>317</v>
      </c>
      <c r="J33">
        <v>188</v>
      </c>
      <c r="K33">
        <v>241</v>
      </c>
      <c r="L33" s="1">
        <f t="shared" si="12"/>
        <v>2383</v>
      </c>
    </row>
    <row r="34" spans="1:12" x14ac:dyDescent="0.2">
      <c r="A34" s="1" t="s">
        <v>96</v>
      </c>
      <c r="B34">
        <v>284</v>
      </c>
      <c r="C34">
        <v>172</v>
      </c>
      <c r="D34">
        <v>114</v>
      </c>
      <c r="E34">
        <v>228</v>
      </c>
      <c r="F34">
        <v>203</v>
      </c>
      <c r="G34">
        <v>260</v>
      </c>
      <c r="H34">
        <v>271</v>
      </c>
      <c r="I34">
        <v>285</v>
      </c>
      <c r="J34">
        <v>186</v>
      </c>
      <c r="K34">
        <v>208</v>
      </c>
      <c r="L34" s="1">
        <f t="shared" si="12"/>
        <v>2211</v>
      </c>
    </row>
    <row r="35" spans="1:12" x14ac:dyDescent="0.2">
      <c r="A35" s="2" t="s">
        <v>246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5</v>
      </c>
      <c r="I35">
        <v>7</v>
      </c>
      <c r="J35">
        <v>0</v>
      </c>
      <c r="K35">
        <v>1</v>
      </c>
      <c r="L35" s="1">
        <v>14</v>
      </c>
    </row>
    <row r="36" spans="1:12" x14ac:dyDescent="0.2">
      <c r="A36" s="2" t="s">
        <v>24</v>
      </c>
      <c r="B36">
        <v>0</v>
      </c>
      <c r="C36">
        <v>0</v>
      </c>
      <c r="D36">
        <v>0</v>
      </c>
      <c r="E36">
        <v>4</v>
      </c>
      <c r="F36">
        <v>0</v>
      </c>
      <c r="G36">
        <v>2</v>
      </c>
      <c r="H36">
        <v>0</v>
      </c>
      <c r="I36">
        <v>2</v>
      </c>
      <c r="J36">
        <v>2</v>
      </c>
      <c r="K36">
        <v>0</v>
      </c>
      <c r="L36" s="1">
        <f t="shared" si="12"/>
        <v>10</v>
      </c>
    </row>
    <row r="37" spans="1:12" x14ac:dyDescent="0.2">
      <c r="A37" s="2" t="s">
        <v>10</v>
      </c>
      <c r="B37">
        <v>680</v>
      </c>
      <c r="C37">
        <v>372</v>
      </c>
      <c r="D37">
        <v>241</v>
      </c>
      <c r="E37">
        <v>500</v>
      </c>
      <c r="F37">
        <v>476</v>
      </c>
      <c r="G37">
        <v>548</v>
      </c>
      <c r="H37">
        <v>629</v>
      </c>
      <c r="I37">
        <v>654</v>
      </c>
      <c r="J37">
        <v>403</v>
      </c>
      <c r="K37">
        <v>512</v>
      </c>
      <c r="L37" s="1">
        <f t="shared" si="12"/>
        <v>5015</v>
      </c>
    </row>
    <row r="38" spans="1:12" x14ac:dyDescent="0.2">
      <c r="A38" s="1" t="s">
        <v>32</v>
      </c>
      <c r="B38" s="1">
        <f>SUM(B32:B37)</f>
        <v>1578</v>
      </c>
      <c r="C38" s="1">
        <f t="shared" ref="C38:L38" si="13">SUM(C32:C37)</f>
        <v>957</v>
      </c>
      <c r="D38" s="1">
        <f t="shared" si="13"/>
        <v>603</v>
      </c>
      <c r="E38" s="1">
        <f t="shared" si="13"/>
        <v>1173</v>
      </c>
      <c r="F38" s="1">
        <f t="shared" si="13"/>
        <v>1104</v>
      </c>
      <c r="G38" s="1">
        <f t="shared" si="13"/>
        <v>1359</v>
      </c>
      <c r="H38" s="1">
        <f t="shared" si="13"/>
        <v>1449</v>
      </c>
      <c r="I38" s="1">
        <f t="shared" si="13"/>
        <v>1596</v>
      </c>
      <c r="J38" s="1">
        <f t="shared" si="13"/>
        <v>966</v>
      </c>
      <c r="K38" s="1">
        <f t="shared" si="13"/>
        <v>1179</v>
      </c>
      <c r="L38" s="1">
        <f t="shared" si="13"/>
        <v>11964</v>
      </c>
    </row>
  </sheetData>
  <mergeCells count="1">
    <mergeCell ref="A1:L1"/>
  </mergeCells>
  <phoneticPr fontId="0" type="noConversion"/>
  <printOptions gridLines="1"/>
  <pageMargins left="0.75" right="0.75" top="0.5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pane ySplit="2" topLeftCell="A3" activePane="bottomLeft" state="frozen"/>
      <selection pane="bottomLeft" activeCell="A2" sqref="A2:C2"/>
    </sheetView>
  </sheetViews>
  <sheetFormatPr defaultRowHeight="12.75" x14ac:dyDescent="0.2"/>
  <cols>
    <col min="1" max="1" width="24.140625" customWidth="1"/>
    <col min="2" max="2" width="11.42578125" customWidth="1"/>
  </cols>
  <sheetData>
    <row r="1" spans="1:6" x14ac:dyDescent="0.2">
      <c r="A1" s="13" t="s">
        <v>114</v>
      </c>
      <c r="B1" s="13"/>
      <c r="C1" s="13"/>
    </row>
    <row r="2" spans="1:6" x14ac:dyDescent="0.2">
      <c r="A2" s="13" t="s">
        <v>12</v>
      </c>
      <c r="B2" s="13"/>
      <c r="C2" s="13"/>
    </row>
    <row r="3" spans="1:6" x14ac:dyDescent="0.2">
      <c r="A3" s="6"/>
      <c r="B3" s="6"/>
      <c r="C3" s="6"/>
    </row>
    <row r="4" spans="1:6" x14ac:dyDescent="0.2">
      <c r="A4" s="1" t="s">
        <v>14</v>
      </c>
    </row>
    <row r="5" spans="1:6" x14ac:dyDescent="0.2">
      <c r="A5" s="1" t="s">
        <v>241</v>
      </c>
      <c r="E5" s="1"/>
      <c r="F5" s="1"/>
    </row>
    <row r="6" spans="1:6" x14ac:dyDescent="0.2">
      <c r="A6" s="1" t="s">
        <v>97</v>
      </c>
      <c r="B6" s="1">
        <v>194</v>
      </c>
      <c r="E6" s="1"/>
      <c r="F6" s="1"/>
    </row>
    <row r="7" spans="1:6" x14ac:dyDescent="0.2">
      <c r="A7" s="1" t="s">
        <v>35</v>
      </c>
      <c r="B7" s="1">
        <v>189</v>
      </c>
      <c r="E7" s="1"/>
      <c r="F7" s="1"/>
    </row>
    <row r="8" spans="1:6" x14ac:dyDescent="0.2">
      <c r="A8" s="1" t="s">
        <v>36</v>
      </c>
      <c r="B8" s="1">
        <v>222</v>
      </c>
      <c r="E8" s="1"/>
      <c r="F8" s="1"/>
    </row>
    <row r="9" spans="1:6" x14ac:dyDescent="0.2">
      <c r="A9" s="2" t="s">
        <v>112</v>
      </c>
      <c r="B9" s="2">
        <v>124</v>
      </c>
      <c r="E9" s="1"/>
      <c r="F9" s="1"/>
    </row>
    <row r="10" spans="1:6" x14ac:dyDescent="0.2">
      <c r="A10" s="1" t="s">
        <v>37</v>
      </c>
      <c r="B10" s="1">
        <v>237</v>
      </c>
      <c r="E10" s="1"/>
      <c r="F10" s="1"/>
    </row>
    <row r="11" spans="1:6" x14ac:dyDescent="0.2">
      <c r="A11" s="1" t="s">
        <v>98</v>
      </c>
      <c r="B11" s="1">
        <v>162</v>
      </c>
      <c r="E11" s="1"/>
      <c r="F11" s="1"/>
    </row>
    <row r="12" spans="1:6" x14ac:dyDescent="0.2">
      <c r="A12" s="1" t="s">
        <v>99</v>
      </c>
      <c r="B12" s="1">
        <v>154</v>
      </c>
      <c r="E12" s="1"/>
      <c r="F12" s="1"/>
    </row>
    <row r="13" spans="1:6" x14ac:dyDescent="0.2">
      <c r="A13" s="1" t="s">
        <v>100</v>
      </c>
      <c r="B13" s="1">
        <v>262</v>
      </c>
      <c r="E13" s="1"/>
      <c r="F13" s="1"/>
    </row>
    <row r="14" spans="1:6" x14ac:dyDescent="0.2">
      <c r="A14" s="1" t="s">
        <v>101</v>
      </c>
      <c r="B14" s="1">
        <v>185</v>
      </c>
      <c r="E14" s="1"/>
      <c r="F14" s="1"/>
    </row>
    <row r="15" spans="1:6" x14ac:dyDescent="0.2">
      <c r="A15" s="1" t="s">
        <v>88</v>
      </c>
      <c r="B15" s="1">
        <v>292</v>
      </c>
    </row>
    <row r="16" spans="1:6" x14ac:dyDescent="0.2">
      <c r="A16" s="1" t="s">
        <v>102</v>
      </c>
      <c r="B16" s="1">
        <v>176</v>
      </c>
    </row>
    <row r="17" spans="1:2" x14ac:dyDescent="0.2">
      <c r="A17" s="1" t="s">
        <v>103</v>
      </c>
      <c r="B17" s="1">
        <v>140</v>
      </c>
    </row>
    <row r="18" spans="1:2" x14ac:dyDescent="0.2">
      <c r="A18" s="1" t="s">
        <v>38</v>
      </c>
      <c r="B18" s="1">
        <v>201</v>
      </c>
    </row>
    <row r="19" spans="1:2" x14ac:dyDescent="0.2">
      <c r="A19" s="1" t="s">
        <v>104</v>
      </c>
      <c r="B19" s="1">
        <v>210</v>
      </c>
    </row>
    <row r="20" spans="1:2" x14ac:dyDescent="0.2">
      <c r="A20" s="1" t="s">
        <v>113</v>
      </c>
      <c r="B20" s="1">
        <v>208</v>
      </c>
    </row>
    <row r="21" spans="1:2" x14ac:dyDescent="0.2">
      <c r="A21" s="1" t="s">
        <v>39</v>
      </c>
      <c r="B21" s="1">
        <v>222</v>
      </c>
    </row>
    <row r="22" spans="1:2" x14ac:dyDescent="0.2">
      <c r="A22" s="1" t="s">
        <v>105</v>
      </c>
      <c r="B22" s="1">
        <v>192</v>
      </c>
    </row>
    <row r="23" spans="1:2" x14ac:dyDescent="0.2">
      <c r="A23" s="1" t="s">
        <v>40</v>
      </c>
      <c r="B23" s="1">
        <v>210</v>
      </c>
    </row>
    <row r="24" spans="1:2" x14ac:dyDescent="0.2">
      <c r="A24" s="1" t="s">
        <v>41</v>
      </c>
      <c r="B24" s="1">
        <v>203</v>
      </c>
    </row>
    <row r="25" spans="1:2" x14ac:dyDescent="0.2">
      <c r="A25" s="1" t="s">
        <v>33</v>
      </c>
      <c r="B25" s="1">
        <v>187</v>
      </c>
    </row>
    <row r="26" spans="1:2" x14ac:dyDescent="0.2">
      <c r="A26" s="1" t="s">
        <v>106</v>
      </c>
      <c r="B26" s="1">
        <v>209</v>
      </c>
    </row>
    <row r="27" spans="1:2" x14ac:dyDescent="0.2">
      <c r="A27" s="1" t="s">
        <v>107</v>
      </c>
      <c r="B27" s="1">
        <v>190</v>
      </c>
    </row>
    <row r="28" spans="1:2" x14ac:dyDescent="0.2">
      <c r="A28" s="1" t="s">
        <v>84</v>
      </c>
      <c r="B28" s="1">
        <v>218</v>
      </c>
    </row>
    <row r="29" spans="1:2" x14ac:dyDescent="0.2">
      <c r="A29" s="1" t="s">
        <v>108</v>
      </c>
      <c r="B29" s="1">
        <v>173</v>
      </c>
    </row>
    <row r="30" spans="1:2" x14ac:dyDescent="0.2">
      <c r="A30" s="2" t="s">
        <v>109</v>
      </c>
      <c r="B30" s="2">
        <v>107</v>
      </c>
    </row>
    <row r="31" spans="1:2" x14ac:dyDescent="0.2">
      <c r="A31" s="2" t="s">
        <v>110</v>
      </c>
      <c r="B31" s="2">
        <v>123</v>
      </c>
    </row>
    <row r="32" spans="1:2" x14ac:dyDescent="0.2">
      <c r="A32" s="1" t="s">
        <v>111</v>
      </c>
      <c r="B32" s="1">
        <v>184</v>
      </c>
    </row>
    <row r="33" spans="1:2" x14ac:dyDescent="0.2">
      <c r="A33" s="2" t="s">
        <v>24</v>
      </c>
      <c r="B33" s="2">
        <v>4</v>
      </c>
    </row>
    <row r="34" spans="1:2" x14ac:dyDescent="0.2">
      <c r="A34" s="2" t="s">
        <v>10</v>
      </c>
      <c r="B34" s="2">
        <v>7446</v>
      </c>
    </row>
    <row r="35" spans="1:2" x14ac:dyDescent="0.2">
      <c r="A35" s="1" t="s">
        <v>32</v>
      </c>
      <c r="B35" s="2">
        <f>SUM(B6:B34)</f>
        <v>12624</v>
      </c>
    </row>
    <row r="36" spans="1:2" ht="15.75" x14ac:dyDescent="0.2">
      <c r="A36" s="7"/>
      <c r="B36" s="1"/>
    </row>
    <row r="42" spans="1:2" x14ac:dyDescent="0.2">
      <c r="A42" s="1"/>
    </row>
    <row r="43" spans="1:2" x14ac:dyDescent="0.2">
      <c r="A43" s="1"/>
    </row>
    <row r="44" spans="1:2" x14ac:dyDescent="0.2">
      <c r="A44" s="1"/>
    </row>
    <row r="45" spans="1:2" x14ac:dyDescent="0.2">
      <c r="A45" s="1"/>
    </row>
    <row r="48" spans="1:2" x14ac:dyDescent="0.2">
      <c r="A48" s="1"/>
      <c r="B48" s="1"/>
    </row>
  </sheetData>
  <sortState ref="E5:F14">
    <sortCondition ref="F5:F14"/>
  </sortState>
  <mergeCells count="2">
    <mergeCell ref="A1:C1"/>
    <mergeCell ref="A2:C2"/>
  </mergeCells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2" topLeftCell="A3" activePane="bottomLeft" state="frozen"/>
      <selection pane="bottomLeft" activeCell="A6" sqref="A6:B33"/>
    </sheetView>
  </sheetViews>
  <sheetFormatPr defaultRowHeight="12.75" x14ac:dyDescent="0.2"/>
  <cols>
    <col min="1" max="1" width="25.140625" bestFit="1" customWidth="1"/>
  </cols>
  <sheetData>
    <row r="1" spans="1:3" x14ac:dyDescent="0.2">
      <c r="A1" s="13" t="s">
        <v>114</v>
      </c>
      <c r="B1" s="13"/>
      <c r="C1" s="13"/>
    </row>
    <row r="2" spans="1:3" x14ac:dyDescent="0.2">
      <c r="A2" s="13" t="s">
        <v>13</v>
      </c>
      <c r="B2" s="13"/>
      <c r="C2" s="13"/>
    </row>
    <row r="3" spans="1:3" x14ac:dyDescent="0.2">
      <c r="A3" s="6"/>
      <c r="B3" s="6"/>
      <c r="C3" s="6"/>
    </row>
    <row r="4" spans="1:3" x14ac:dyDescent="0.2">
      <c r="A4" s="8" t="s">
        <v>11</v>
      </c>
      <c r="B4" s="6"/>
      <c r="C4" s="6"/>
    </row>
    <row r="5" spans="1:3" x14ac:dyDescent="0.2">
      <c r="A5" s="1" t="s">
        <v>254</v>
      </c>
    </row>
    <row r="6" spans="1:3" x14ac:dyDescent="0.2">
      <c r="A6" s="11" t="s">
        <v>115</v>
      </c>
      <c r="B6" s="1">
        <v>150</v>
      </c>
    </row>
    <row r="7" spans="1:3" x14ac:dyDescent="0.2">
      <c r="A7" s="11" t="s">
        <v>28</v>
      </c>
      <c r="B7" s="1">
        <v>165</v>
      </c>
    </row>
    <row r="8" spans="1:3" x14ac:dyDescent="0.2">
      <c r="A8" s="11" t="s">
        <v>116</v>
      </c>
      <c r="B8" s="1">
        <v>144</v>
      </c>
    </row>
    <row r="9" spans="1:3" x14ac:dyDescent="0.2">
      <c r="A9" s="11" t="s">
        <v>117</v>
      </c>
      <c r="B9" s="1">
        <v>136</v>
      </c>
    </row>
    <row r="10" spans="1:3" x14ac:dyDescent="0.2">
      <c r="A10" s="11" t="s">
        <v>42</v>
      </c>
      <c r="B10" s="1">
        <v>129</v>
      </c>
    </row>
    <row r="11" spans="1:3" x14ac:dyDescent="0.2">
      <c r="A11" s="11" t="s">
        <v>118</v>
      </c>
      <c r="B11" s="1">
        <v>119</v>
      </c>
    </row>
    <row r="12" spans="1:3" x14ac:dyDescent="0.2">
      <c r="A12" s="11" t="s">
        <v>119</v>
      </c>
      <c r="B12" s="1">
        <v>120</v>
      </c>
    </row>
    <row r="13" spans="1:3" x14ac:dyDescent="0.2">
      <c r="A13" s="11" t="s">
        <v>43</v>
      </c>
      <c r="B13" s="1">
        <v>157</v>
      </c>
    </row>
    <row r="14" spans="1:3" x14ac:dyDescent="0.2">
      <c r="A14" s="11" t="s">
        <v>120</v>
      </c>
      <c r="B14" s="1">
        <v>140</v>
      </c>
    </row>
    <row r="15" spans="1:3" x14ac:dyDescent="0.2">
      <c r="A15" s="11" t="s">
        <v>121</v>
      </c>
      <c r="B15" s="1">
        <v>133</v>
      </c>
    </row>
    <row r="16" spans="1:3" x14ac:dyDescent="0.2">
      <c r="A16" s="11" t="s">
        <v>122</v>
      </c>
      <c r="B16" s="1">
        <v>129</v>
      </c>
    </row>
    <row r="17" spans="1:2" x14ac:dyDescent="0.2">
      <c r="A17" s="11" t="s">
        <v>44</v>
      </c>
      <c r="B17" s="1">
        <v>128</v>
      </c>
    </row>
    <row r="18" spans="1:2" x14ac:dyDescent="0.2">
      <c r="A18" s="11" t="s">
        <v>45</v>
      </c>
      <c r="B18" s="1">
        <v>131</v>
      </c>
    </row>
    <row r="19" spans="1:2" x14ac:dyDescent="0.2">
      <c r="A19" s="11" t="s">
        <v>46</v>
      </c>
      <c r="B19" s="1">
        <v>129</v>
      </c>
    </row>
    <row r="20" spans="1:2" x14ac:dyDescent="0.2">
      <c r="A20" s="11" t="s">
        <v>123</v>
      </c>
      <c r="B20" s="1">
        <v>125</v>
      </c>
    </row>
    <row r="21" spans="1:2" x14ac:dyDescent="0.2">
      <c r="A21" s="11" t="s">
        <v>124</v>
      </c>
      <c r="B21" s="1">
        <v>154</v>
      </c>
    </row>
    <row r="22" spans="1:2" x14ac:dyDescent="0.2">
      <c r="A22" s="11" t="s">
        <v>125</v>
      </c>
      <c r="B22" s="1">
        <v>147</v>
      </c>
    </row>
    <row r="23" spans="1:2" x14ac:dyDescent="0.2">
      <c r="A23" s="11" t="s">
        <v>247</v>
      </c>
      <c r="B23" s="1">
        <v>6</v>
      </c>
    </row>
    <row r="24" spans="1:2" x14ac:dyDescent="0.2">
      <c r="A24" s="11" t="s">
        <v>248</v>
      </c>
      <c r="B24" s="1">
        <v>6</v>
      </c>
    </row>
    <row r="25" spans="1:2" x14ac:dyDescent="0.2">
      <c r="A25" s="11" t="s">
        <v>249</v>
      </c>
      <c r="B25" s="1">
        <v>3</v>
      </c>
    </row>
    <row r="26" spans="1:2" x14ac:dyDescent="0.2">
      <c r="A26" s="11" t="s">
        <v>250</v>
      </c>
      <c r="B26" s="1">
        <v>3</v>
      </c>
    </row>
    <row r="27" spans="1:2" x14ac:dyDescent="0.2">
      <c r="A27" s="11" t="s">
        <v>251</v>
      </c>
      <c r="B27" s="1">
        <v>2</v>
      </c>
    </row>
    <row r="28" spans="1:2" x14ac:dyDescent="0.2">
      <c r="A28" s="11" t="s">
        <v>252</v>
      </c>
      <c r="B28" s="1">
        <v>2</v>
      </c>
    </row>
    <row r="29" spans="1:2" x14ac:dyDescent="0.2">
      <c r="A29" s="11" t="s">
        <v>253</v>
      </c>
      <c r="B29" s="1">
        <v>2</v>
      </c>
    </row>
    <row r="30" spans="1:2" x14ac:dyDescent="0.2">
      <c r="A30" s="11" t="s">
        <v>276</v>
      </c>
      <c r="B30" s="1">
        <v>2</v>
      </c>
    </row>
    <row r="31" spans="1:2" x14ac:dyDescent="0.2">
      <c r="A31" s="2" t="s">
        <v>24</v>
      </c>
      <c r="B31" s="2">
        <v>10</v>
      </c>
    </row>
    <row r="32" spans="1:2" x14ac:dyDescent="0.2">
      <c r="A32" s="2" t="s">
        <v>10</v>
      </c>
      <c r="B32" s="2">
        <v>5605</v>
      </c>
    </row>
    <row r="33" spans="1:2" x14ac:dyDescent="0.2">
      <c r="A33" s="1" t="s">
        <v>32</v>
      </c>
      <c r="B33" s="1">
        <f>SUM(B6:B32)</f>
        <v>7977</v>
      </c>
    </row>
    <row r="36" spans="1:2" x14ac:dyDescent="0.2">
      <c r="A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2"/>
    </row>
    <row r="40" spans="1:2" x14ac:dyDescent="0.2">
      <c r="A40" s="1"/>
      <c r="B40" s="1"/>
    </row>
    <row r="41" spans="1:2" x14ac:dyDescent="0.2">
      <c r="A41" s="1"/>
    </row>
  </sheetData>
  <mergeCells count="2">
    <mergeCell ref="A1:C1"/>
    <mergeCell ref="A2:C2"/>
  </mergeCells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pane ySplit="2" topLeftCell="A3" activePane="bottomLeft" state="frozen"/>
      <selection pane="bottomLeft" activeCell="A5" sqref="A5"/>
    </sheetView>
  </sheetViews>
  <sheetFormatPr defaultRowHeight="12.75" x14ac:dyDescent="0.2"/>
  <cols>
    <col min="1" max="1" width="23.85546875" customWidth="1"/>
    <col min="2" max="2" width="14.5703125" customWidth="1"/>
  </cols>
  <sheetData>
    <row r="1" spans="1:3" x14ac:dyDescent="0.2">
      <c r="A1" s="13" t="s">
        <v>114</v>
      </c>
      <c r="B1" s="13"/>
      <c r="C1" s="13"/>
    </row>
    <row r="2" spans="1:3" x14ac:dyDescent="0.2">
      <c r="A2" s="13" t="s">
        <v>15</v>
      </c>
      <c r="B2" s="13"/>
    </row>
    <row r="3" spans="1:3" x14ac:dyDescent="0.2">
      <c r="A3" s="1"/>
      <c r="B3" s="1"/>
    </row>
    <row r="4" spans="1:3" x14ac:dyDescent="0.2">
      <c r="A4" s="8" t="s">
        <v>11</v>
      </c>
      <c r="B4" s="1"/>
    </row>
    <row r="5" spans="1:3" x14ac:dyDescent="0.2">
      <c r="A5" s="1" t="s">
        <v>278</v>
      </c>
    </row>
    <row r="6" spans="1:3" x14ac:dyDescent="0.2">
      <c r="A6" s="11" t="s">
        <v>126</v>
      </c>
      <c r="B6" s="1">
        <v>121</v>
      </c>
    </row>
    <row r="7" spans="1:3" x14ac:dyDescent="0.2">
      <c r="A7" s="11" t="s">
        <v>127</v>
      </c>
      <c r="B7" s="1">
        <v>120</v>
      </c>
    </row>
    <row r="8" spans="1:3" x14ac:dyDescent="0.2">
      <c r="A8" s="11" t="s">
        <v>128</v>
      </c>
      <c r="B8" s="1">
        <v>137</v>
      </c>
    </row>
    <row r="9" spans="1:3" x14ac:dyDescent="0.2">
      <c r="A9" s="11" t="s">
        <v>129</v>
      </c>
      <c r="B9" s="1">
        <v>116</v>
      </c>
    </row>
    <row r="10" spans="1:3" x14ac:dyDescent="0.2">
      <c r="A10" s="11" t="s">
        <v>130</v>
      </c>
      <c r="B10" s="1">
        <v>108</v>
      </c>
    </row>
    <row r="11" spans="1:3" x14ac:dyDescent="0.2">
      <c r="A11" s="11" t="s">
        <v>255</v>
      </c>
      <c r="B11" s="1">
        <v>6</v>
      </c>
    </row>
    <row r="12" spans="1:3" x14ac:dyDescent="0.2">
      <c r="A12" s="11" t="s">
        <v>256</v>
      </c>
      <c r="B12" s="1">
        <v>4</v>
      </c>
    </row>
    <row r="13" spans="1:3" x14ac:dyDescent="0.2">
      <c r="A13" s="11" t="s">
        <v>257</v>
      </c>
      <c r="B13" s="1">
        <v>2</v>
      </c>
    </row>
    <row r="14" spans="1:3" x14ac:dyDescent="0.2">
      <c r="A14" s="11" t="s">
        <v>258</v>
      </c>
      <c r="B14" s="1">
        <v>2</v>
      </c>
    </row>
    <row r="15" spans="1:3" x14ac:dyDescent="0.2">
      <c r="A15" s="11" t="s">
        <v>259</v>
      </c>
      <c r="B15" s="1">
        <v>2</v>
      </c>
    </row>
    <row r="16" spans="1:3" x14ac:dyDescent="0.2">
      <c r="A16" s="2" t="s">
        <v>24</v>
      </c>
      <c r="B16" s="1">
        <v>13</v>
      </c>
    </row>
    <row r="17" spans="1:2" x14ac:dyDescent="0.2">
      <c r="A17" t="s">
        <v>10</v>
      </c>
      <c r="B17" s="1">
        <v>1379</v>
      </c>
    </row>
    <row r="18" spans="1:2" x14ac:dyDescent="0.2">
      <c r="A18" s="1" t="s">
        <v>32</v>
      </c>
      <c r="B18" s="1">
        <f>SUM(B6:B17)</f>
        <v>2010</v>
      </c>
    </row>
    <row r="20" spans="1:2" x14ac:dyDescent="0.2">
      <c r="A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2"/>
    </row>
    <row r="24" spans="1:2" x14ac:dyDescent="0.2">
      <c r="A24" s="1"/>
      <c r="B24" s="1"/>
    </row>
  </sheetData>
  <mergeCells count="2">
    <mergeCell ref="A2:B2"/>
    <mergeCell ref="A1:C1"/>
  </mergeCells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ySplit="2" topLeftCell="A3" activePane="bottomLeft" state="frozen"/>
      <selection pane="bottomLeft" activeCell="A28" sqref="A28"/>
    </sheetView>
  </sheetViews>
  <sheetFormatPr defaultRowHeight="12.75" x14ac:dyDescent="0.2"/>
  <cols>
    <col min="1" max="1" width="28.140625" customWidth="1"/>
    <col min="2" max="2" width="7.85546875" customWidth="1"/>
  </cols>
  <sheetData>
    <row r="1" spans="1:3" x14ac:dyDescent="0.2">
      <c r="A1" s="13" t="s">
        <v>114</v>
      </c>
      <c r="B1" s="13"/>
      <c r="C1" s="13"/>
    </row>
    <row r="2" spans="1:3" x14ac:dyDescent="0.2">
      <c r="A2" s="13" t="s">
        <v>16</v>
      </c>
      <c r="B2" s="13"/>
      <c r="C2" s="13"/>
    </row>
    <row r="4" spans="1:3" x14ac:dyDescent="0.2">
      <c r="A4" s="1" t="s">
        <v>14</v>
      </c>
    </row>
    <row r="5" spans="1:3" x14ac:dyDescent="0.2">
      <c r="A5" s="1" t="s">
        <v>243</v>
      </c>
    </row>
    <row r="6" spans="1:3" x14ac:dyDescent="0.2">
      <c r="A6" s="12" t="s">
        <v>47</v>
      </c>
      <c r="B6" s="1">
        <v>191</v>
      </c>
    </row>
    <row r="7" spans="1:3" x14ac:dyDescent="0.2">
      <c r="A7" s="12" t="s">
        <v>131</v>
      </c>
      <c r="B7" s="1">
        <v>167</v>
      </c>
    </row>
    <row r="8" spans="1:3" x14ac:dyDescent="0.2">
      <c r="A8" s="12" t="s">
        <v>132</v>
      </c>
      <c r="B8" s="1">
        <v>158</v>
      </c>
    </row>
    <row r="9" spans="1:3" x14ac:dyDescent="0.2">
      <c r="A9" s="12" t="s">
        <v>48</v>
      </c>
      <c r="B9" s="1">
        <v>172</v>
      </c>
    </row>
    <row r="10" spans="1:3" x14ac:dyDescent="0.2">
      <c r="A10" s="12" t="s">
        <v>133</v>
      </c>
      <c r="B10" s="1">
        <v>154</v>
      </c>
    </row>
    <row r="11" spans="1:3" x14ac:dyDescent="0.2">
      <c r="A11" s="12" t="s">
        <v>134</v>
      </c>
      <c r="B11" s="1">
        <v>153</v>
      </c>
    </row>
    <row r="12" spans="1:3" x14ac:dyDescent="0.2">
      <c r="A12" s="12" t="s">
        <v>49</v>
      </c>
      <c r="B12" s="1">
        <v>161</v>
      </c>
    </row>
    <row r="13" spans="1:3" x14ac:dyDescent="0.2">
      <c r="A13" s="12" t="s">
        <v>135</v>
      </c>
      <c r="B13" s="1">
        <v>154</v>
      </c>
    </row>
    <row r="14" spans="1:3" x14ac:dyDescent="0.2">
      <c r="A14" s="12" t="s">
        <v>136</v>
      </c>
      <c r="B14" s="1">
        <v>180</v>
      </c>
    </row>
    <row r="15" spans="1:3" x14ac:dyDescent="0.2">
      <c r="A15" s="12" t="s">
        <v>137</v>
      </c>
      <c r="B15" s="1">
        <v>150</v>
      </c>
    </row>
    <row r="16" spans="1:3" x14ac:dyDescent="0.2">
      <c r="A16" s="12" t="s">
        <v>138</v>
      </c>
      <c r="B16" s="1">
        <v>163</v>
      </c>
    </row>
    <row r="17" spans="1:2" x14ac:dyDescent="0.2">
      <c r="A17" s="12" t="s">
        <v>139</v>
      </c>
      <c r="B17" s="1">
        <v>163</v>
      </c>
    </row>
    <row r="18" spans="1:2" x14ac:dyDescent="0.2">
      <c r="A18" s="12" t="s">
        <v>50</v>
      </c>
      <c r="B18" s="1">
        <v>156</v>
      </c>
    </row>
    <row r="19" spans="1:2" x14ac:dyDescent="0.2">
      <c r="A19" s="12" t="s">
        <v>140</v>
      </c>
      <c r="B19" s="1">
        <v>155</v>
      </c>
    </row>
    <row r="20" spans="1:2" x14ac:dyDescent="0.2">
      <c r="A20" s="12" t="s">
        <v>141</v>
      </c>
      <c r="B20" s="1">
        <v>193</v>
      </c>
    </row>
    <row r="21" spans="1:2" x14ac:dyDescent="0.2">
      <c r="A21" s="12" t="s">
        <v>51</v>
      </c>
      <c r="B21" s="1">
        <v>162</v>
      </c>
    </row>
    <row r="22" spans="1:2" x14ac:dyDescent="0.2">
      <c r="A22" s="12" t="s">
        <v>142</v>
      </c>
      <c r="B22" s="1">
        <v>174</v>
      </c>
    </row>
    <row r="23" spans="1:2" x14ac:dyDescent="0.2">
      <c r="A23" s="12" t="s">
        <v>143</v>
      </c>
      <c r="B23" s="1">
        <v>221</v>
      </c>
    </row>
    <row r="24" spans="1:2" x14ac:dyDescent="0.2">
      <c r="A24" s="12" t="s">
        <v>144</v>
      </c>
      <c r="B24" s="1">
        <v>164</v>
      </c>
    </row>
    <row r="25" spans="1:2" x14ac:dyDescent="0.2">
      <c r="A25" s="12" t="s">
        <v>145</v>
      </c>
      <c r="B25" s="1">
        <v>179</v>
      </c>
    </row>
    <row r="26" spans="1:2" x14ac:dyDescent="0.2">
      <c r="A26" s="12" t="s">
        <v>260</v>
      </c>
      <c r="B26" s="1">
        <v>5</v>
      </c>
    </row>
    <row r="27" spans="1:2" x14ac:dyDescent="0.2">
      <c r="A27" s="12" t="s">
        <v>261</v>
      </c>
      <c r="B27" s="1">
        <v>5</v>
      </c>
    </row>
    <row r="28" spans="1:2" x14ac:dyDescent="0.2">
      <c r="A28" s="12" t="s">
        <v>262</v>
      </c>
      <c r="B28" s="1">
        <v>5</v>
      </c>
    </row>
    <row r="29" spans="1:2" x14ac:dyDescent="0.2">
      <c r="A29" s="2" t="s">
        <v>24</v>
      </c>
      <c r="B29" s="2">
        <v>33</v>
      </c>
    </row>
    <row r="30" spans="1:2" x14ac:dyDescent="0.2">
      <c r="A30" s="2" t="s">
        <v>25</v>
      </c>
      <c r="B30" s="2">
        <v>5575</v>
      </c>
    </row>
    <row r="31" spans="1:2" x14ac:dyDescent="0.2">
      <c r="A31" s="1" t="s">
        <v>9</v>
      </c>
      <c r="B31" s="1">
        <f>SUM(B6:B30)</f>
        <v>8993</v>
      </c>
    </row>
    <row r="33" spans="1:2" x14ac:dyDescent="0.2">
      <c r="A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2"/>
    </row>
    <row r="37" spans="1:2" x14ac:dyDescent="0.2">
      <c r="A37" s="1"/>
      <c r="B37" s="1"/>
    </row>
  </sheetData>
  <mergeCells count="2">
    <mergeCell ref="A1:C1"/>
    <mergeCell ref="A2:C2"/>
  </mergeCells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pane ySplit="2" topLeftCell="A3" activePane="bottomLeft" state="frozen"/>
      <selection pane="bottomLeft" activeCell="A6" sqref="A6:B30"/>
    </sheetView>
  </sheetViews>
  <sheetFormatPr defaultRowHeight="12.75" x14ac:dyDescent="0.2"/>
  <cols>
    <col min="1" max="1" width="24.5703125" bestFit="1" customWidth="1"/>
  </cols>
  <sheetData>
    <row r="1" spans="1:3" x14ac:dyDescent="0.2">
      <c r="A1" s="13" t="s">
        <v>114</v>
      </c>
      <c r="B1" s="13"/>
      <c r="C1" s="13"/>
    </row>
    <row r="2" spans="1:3" x14ac:dyDescent="0.2">
      <c r="A2" s="13" t="s">
        <v>17</v>
      </c>
      <c r="B2" s="13"/>
      <c r="C2" s="13"/>
    </row>
    <row r="3" spans="1:3" x14ac:dyDescent="0.2">
      <c r="A3" s="6"/>
      <c r="B3" s="6"/>
      <c r="C3" s="6"/>
    </row>
    <row r="4" spans="1:3" x14ac:dyDescent="0.2">
      <c r="A4" s="1" t="s">
        <v>14</v>
      </c>
      <c r="B4" s="3"/>
      <c r="C4" s="3"/>
    </row>
    <row r="5" spans="1:3" x14ac:dyDescent="0.2">
      <c r="A5" s="1" t="s">
        <v>240</v>
      </c>
    </row>
    <row r="6" spans="1:3" x14ac:dyDescent="0.2">
      <c r="A6" s="11" t="s">
        <v>146</v>
      </c>
      <c r="B6" s="1">
        <v>170</v>
      </c>
    </row>
    <row r="7" spans="1:3" x14ac:dyDescent="0.2">
      <c r="A7" s="11" t="s">
        <v>147</v>
      </c>
      <c r="B7" s="1">
        <v>126</v>
      </c>
    </row>
    <row r="8" spans="1:3" x14ac:dyDescent="0.2">
      <c r="A8" s="11" t="s">
        <v>148</v>
      </c>
      <c r="B8" s="1">
        <v>126</v>
      </c>
    </row>
    <row r="9" spans="1:3" x14ac:dyDescent="0.2">
      <c r="A9" s="11" t="s">
        <v>149</v>
      </c>
      <c r="B9" s="1">
        <v>145</v>
      </c>
    </row>
    <row r="10" spans="1:3" x14ac:dyDescent="0.2">
      <c r="A10" s="11" t="s">
        <v>52</v>
      </c>
      <c r="B10" s="1">
        <v>152</v>
      </c>
    </row>
    <row r="11" spans="1:3" x14ac:dyDescent="0.2">
      <c r="A11" s="11" t="s">
        <v>150</v>
      </c>
      <c r="B11" s="1">
        <v>155</v>
      </c>
    </row>
    <row r="12" spans="1:3" x14ac:dyDescent="0.2">
      <c r="A12" s="11" t="s">
        <v>53</v>
      </c>
      <c r="B12" s="1">
        <v>189</v>
      </c>
    </row>
    <row r="13" spans="1:3" x14ac:dyDescent="0.2">
      <c r="A13" s="11" t="s">
        <v>151</v>
      </c>
      <c r="B13" s="1">
        <v>150</v>
      </c>
    </row>
    <row r="14" spans="1:3" x14ac:dyDescent="0.2">
      <c r="A14" s="11" t="s">
        <v>152</v>
      </c>
      <c r="B14" s="1">
        <v>138</v>
      </c>
    </row>
    <row r="15" spans="1:3" x14ac:dyDescent="0.2">
      <c r="A15" s="11" t="s">
        <v>34</v>
      </c>
      <c r="B15" s="1">
        <v>162</v>
      </c>
    </row>
    <row r="16" spans="1:3" x14ac:dyDescent="0.2">
      <c r="A16" s="11" t="s">
        <v>54</v>
      </c>
      <c r="B16" s="1">
        <v>160</v>
      </c>
    </row>
    <row r="17" spans="1:2" x14ac:dyDescent="0.2">
      <c r="A17" s="11" t="s">
        <v>153</v>
      </c>
      <c r="B17" s="1">
        <v>119</v>
      </c>
    </row>
    <row r="18" spans="1:2" x14ac:dyDescent="0.2">
      <c r="A18" s="11" t="s">
        <v>55</v>
      </c>
      <c r="B18" s="1">
        <v>161</v>
      </c>
    </row>
    <row r="19" spans="1:2" x14ac:dyDescent="0.2">
      <c r="A19" s="11" t="s">
        <v>154</v>
      </c>
      <c r="B19" s="1">
        <v>153</v>
      </c>
    </row>
    <row r="20" spans="1:2" x14ac:dyDescent="0.2">
      <c r="A20" s="11" t="s">
        <v>56</v>
      </c>
      <c r="B20" s="1">
        <v>135</v>
      </c>
    </row>
    <row r="21" spans="1:2" x14ac:dyDescent="0.2">
      <c r="A21" s="11" t="s">
        <v>155</v>
      </c>
      <c r="B21" s="1">
        <v>135</v>
      </c>
    </row>
    <row r="22" spans="1:2" x14ac:dyDescent="0.2">
      <c r="A22" s="11" t="s">
        <v>31</v>
      </c>
      <c r="B22" s="1">
        <v>137</v>
      </c>
    </row>
    <row r="23" spans="1:2" x14ac:dyDescent="0.2">
      <c r="A23" s="11" t="s">
        <v>156</v>
      </c>
      <c r="B23" s="1">
        <v>125</v>
      </c>
    </row>
    <row r="24" spans="1:2" x14ac:dyDescent="0.2">
      <c r="A24" s="11" t="s">
        <v>157</v>
      </c>
      <c r="B24" s="1">
        <v>129</v>
      </c>
    </row>
    <row r="25" spans="1:2" x14ac:dyDescent="0.2">
      <c r="A25" s="11" t="s">
        <v>96</v>
      </c>
      <c r="B25" s="1">
        <v>160</v>
      </c>
    </row>
    <row r="26" spans="1:2" x14ac:dyDescent="0.2">
      <c r="A26" s="11" t="s">
        <v>158</v>
      </c>
      <c r="B26" s="1">
        <v>142</v>
      </c>
    </row>
    <row r="27" spans="1:2" x14ac:dyDescent="0.2">
      <c r="A27" s="11" t="s">
        <v>159</v>
      </c>
      <c r="B27" s="1">
        <v>144</v>
      </c>
    </row>
    <row r="28" spans="1:2" x14ac:dyDescent="0.2">
      <c r="A28" s="11" t="s">
        <v>160</v>
      </c>
      <c r="B28" s="1">
        <v>138</v>
      </c>
    </row>
    <row r="29" spans="1:2" x14ac:dyDescent="0.2">
      <c r="A29" s="11" t="s">
        <v>161</v>
      </c>
      <c r="B29" s="1">
        <v>133</v>
      </c>
    </row>
    <row r="30" spans="1:2" x14ac:dyDescent="0.2">
      <c r="A30" s="11" t="s">
        <v>57</v>
      </c>
      <c r="B30" s="1">
        <v>200</v>
      </c>
    </row>
    <row r="31" spans="1:2" x14ac:dyDescent="0.2">
      <c r="A31" s="2" t="s">
        <v>24</v>
      </c>
      <c r="B31" s="2">
        <v>6</v>
      </c>
    </row>
    <row r="32" spans="1:2" x14ac:dyDescent="0.2">
      <c r="A32" s="2" t="s">
        <v>25</v>
      </c>
      <c r="B32" s="2">
        <v>5510</v>
      </c>
    </row>
    <row r="33" spans="1:2" x14ac:dyDescent="0.2">
      <c r="A33" s="1" t="s">
        <v>9</v>
      </c>
      <c r="B33" s="1">
        <f>SUM(B6:B32)</f>
        <v>9200</v>
      </c>
    </row>
    <row r="35" spans="1:2" x14ac:dyDescent="0.2">
      <c r="A35" s="1"/>
    </row>
    <row r="36" spans="1:2" x14ac:dyDescent="0.2">
      <c r="A36" s="1"/>
      <c r="B36" s="1"/>
    </row>
    <row r="37" spans="1:2" x14ac:dyDescent="0.2">
      <c r="A37" s="2"/>
    </row>
    <row r="38" spans="1:2" x14ac:dyDescent="0.2">
      <c r="A38" s="2"/>
    </row>
    <row r="39" spans="1:2" x14ac:dyDescent="0.2">
      <c r="A39" s="1"/>
      <c r="B39" s="1"/>
    </row>
    <row r="41" spans="1:2" x14ac:dyDescent="0.2">
      <c r="A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2"/>
    </row>
    <row r="45" spans="1:2" x14ac:dyDescent="0.2">
      <c r="A45" s="1"/>
      <c r="B45" s="1"/>
    </row>
  </sheetData>
  <mergeCells count="2">
    <mergeCell ref="A1:C1"/>
    <mergeCell ref="A2:C2"/>
  </mergeCells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ySplit="2" topLeftCell="A4" activePane="bottomLeft" state="frozen"/>
      <selection pane="bottomLeft" activeCell="B29" sqref="B29"/>
    </sheetView>
  </sheetViews>
  <sheetFormatPr defaultRowHeight="12.75" x14ac:dyDescent="0.2"/>
  <cols>
    <col min="1" max="1" width="26.28515625" customWidth="1"/>
    <col min="2" max="2" width="10.5703125" customWidth="1"/>
  </cols>
  <sheetData>
    <row r="1" spans="1:3" x14ac:dyDescent="0.2">
      <c r="A1" s="13" t="s">
        <v>114</v>
      </c>
      <c r="B1" s="13"/>
      <c r="C1" s="13"/>
    </row>
    <row r="2" spans="1:3" x14ac:dyDescent="0.2">
      <c r="A2" s="13" t="s">
        <v>18</v>
      </c>
      <c r="B2" s="13"/>
    </row>
    <row r="4" spans="1:3" x14ac:dyDescent="0.2">
      <c r="A4" s="1" t="s">
        <v>14</v>
      </c>
    </row>
    <row r="5" spans="1:3" x14ac:dyDescent="0.2">
      <c r="A5" s="1" t="s">
        <v>241</v>
      </c>
    </row>
    <row r="6" spans="1:3" x14ac:dyDescent="0.2">
      <c r="A6" s="11" t="s">
        <v>162</v>
      </c>
      <c r="B6" s="1">
        <v>174</v>
      </c>
    </row>
    <row r="7" spans="1:3" x14ac:dyDescent="0.2">
      <c r="A7" s="11" t="s">
        <v>58</v>
      </c>
      <c r="B7" s="1">
        <v>206</v>
      </c>
    </row>
    <row r="8" spans="1:3" x14ac:dyDescent="0.2">
      <c r="A8" s="11" t="s">
        <v>163</v>
      </c>
      <c r="B8" s="1">
        <v>201</v>
      </c>
    </row>
    <row r="9" spans="1:3" x14ac:dyDescent="0.2">
      <c r="A9" s="11" t="s">
        <v>164</v>
      </c>
      <c r="B9" s="1">
        <v>181</v>
      </c>
    </row>
    <row r="10" spans="1:3" x14ac:dyDescent="0.2">
      <c r="A10" s="11" t="s">
        <v>59</v>
      </c>
      <c r="B10" s="1">
        <v>165</v>
      </c>
    </row>
    <row r="11" spans="1:3" x14ac:dyDescent="0.2">
      <c r="A11" s="11" t="s">
        <v>165</v>
      </c>
      <c r="B11" s="1">
        <v>149</v>
      </c>
    </row>
    <row r="12" spans="1:3" x14ac:dyDescent="0.2">
      <c r="A12" s="11" t="s">
        <v>60</v>
      </c>
      <c r="B12" s="1">
        <v>197</v>
      </c>
    </row>
    <row r="13" spans="1:3" x14ac:dyDescent="0.2">
      <c r="A13" s="11" t="s">
        <v>166</v>
      </c>
      <c r="B13" s="1">
        <v>190</v>
      </c>
    </row>
    <row r="14" spans="1:3" x14ac:dyDescent="0.2">
      <c r="A14" s="11" t="s">
        <v>61</v>
      </c>
      <c r="B14" s="1">
        <v>186</v>
      </c>
    </row>
    <row r="15" spans="1:3" x14ac:dyDescent="0.2">
      <c r="A15" s="11" t="s">
        <v>167</v>
      </c>
      <c r="B15" s="1">
        <v>149</v>
      </c>
    </row>
    <row r="16" spans="1:3" x14ac:dyDescent="0.2">
      <c r="A16" s="11" t="s">
        <v>63</v>
      </c>
      <c r="B16" s="1">
        <v>191</v>
      </c>
    </row>
    <row r="17" spans="1:3" x14ac:dyDescent="0.2">
      <c r="A17" s="11" t="s">
        <v>30</v>
      </c>
      <c r="B17" s="1">
        <v>175</v>
      </c>
    </row>
    <row r="18" spans="1:3" x14ac:dyDescent="0.2">
      <c r="A18" s="11" t="s">
        <v>168</v>
      </c>
      <c r="B18" s="1">
        <v>171</v>
      </c>
    </row>
    <row r="19" spans="1:3" x14ac:dyDescent="0.2">
      <c r="A19" s="11" t="s">
        <v>169</v>
      </c>
      <c r="B19" s="1">
        <v>174</v>
      </c>
    </row>
    <row r="20" spans="1:3" x14ac:dyDescent="0.2">
      <c r="A20" s="11" t="s">
        <v>62</v>
      </c>
      <c r="B20" s="1">
        <v>191</v>
      </c>
    </row>
    <row r="21" spans="1:3" x14ac:dyDescent="0.2">
      <c r="A21" s="11" t="s">
        <v>170</v>
      </c>
      <c r="B21" s="1">
        <v>193</v>
      </c>
    </row>
    <row r="22" spans="1:3" x14ac:dyDescent="0.2">
      <c r="A22" s="11" t="s">
        <v>171</v>
      </c>
      <c r="B22" s="1">
        <v>158</v>
      </c>
      <c r="C22" s="2"/>
    </row>
    <row r="23" spans="1:3" x14ac:dyDescent="0.2">
      <c r="A23" s="11" t="s">
        <v>172</v>
      </c>
      <c r="B23" s="1">
        <v>156</v>
      </c>
      <c r="C23" s="2"/>
    </row>
    <row r="24" spans="1:3" x14ac:dyDescent="0.2">
      <c r="A24" s="11" t="s">
        <v>173</v>
      </c>
      <c r="B24" s="1">
        <v>191</v>
      </c>
      <c r="C24" s="2"/>
    </row>
    <row r="25" spans="1:3" x14ac:dyDescent="0.2">
      <c r="A25" s="11" t="s">
        <v>174</v>
      </c>
      <c r="B25" s="1">
        <v>154</v>
      </c>
      <c r="C25" s="2"/>
    </row>
    <row r="26" spans="1:3" x14ac:dyDescent="0.2">
      <c r="A26" s="11" t="s">
        <v>175</v>
      </c>
      <c r="B26" s="1">
        <v>190</v>
      </c>
      <c r="C26" s="2"/>
    </row>
    <row r="27" spans="1:3" x14ac:dyDescent="0.2">
      <c r="A27" s="11" t="s">
        <v>64</v>
      </c>
      <c r="B27" s="1">
        <v>179</v>
      </c>
      <c r="C27" s="2"/>
    </row>
    <row r="28" spans="1:3" x14ac:dyDescent="0.2">
      <c r="A28" s="11" t="s">
        <v>263</v>
      </c>
      <c r="B28" s="1">
        <v>6</v>
      </c>
      <c r="C28" s="2"/>
    </row>
    <row r="29" spans="1:3" x14ac:dyDescent="0.2">
      <c r="A29" s="11" t="s">
        <v>264</v>
      </c>
      <c r="B29" s="1">
        <v>3</v>
      </c>
      <c r="C29" s="2"/>
    </row>
    <row r="30" spans="1:3" x14ac:dyDescent="0.2">
      <c r="A30" s="2" t="s">
        <v>24</v>
      </c>
      <c r="B30" s="2">
        <v>36</v>
      </c>
    </row>
    <row r="31" spans="1:3" x14ac:dyDescent="0.2">
      <c r="A31" s="2" t="s">
        <v>25</v>
      </c>
      <c r="B31" s="2">
        <v>6915</v>
      </c>
    </row>
    <row r="32" spans="1:3" x14ac:dyDescent="0.2">
      <c r="A32" s="1" t="s">
        <v>9</v>
      </c>
      <c r="B32" s="1">
        <f>SUM(B6:B31)</f>
        <v>10881</v>
      </c>
    </row>
    <row r="33" spans="1:2" x14ac:dyDescent="0.2">
      <c r="A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2"/>
    </row>
    <row r="37" spans="1:2" x14ac:dyDescent="0.2">
      <c r="A37" s="1"/>
      <c r="B37" s="1"/>
    </row>
  </sheetData>
  <mergeCells count="2">
    <mergeCell ref="A2:B2"/>
    <mergeCell ref="A1:C1"/>
  </mergeCells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ySplit="2" topLeftCell="A3" activePane="bottomLeft" state="frozen"/>
      <selection pane="bottomLeft" activeCell="A6" sqref="A6:B29"/>
    </sheetView>
  </sheetViews>
  <sheetFormatPr defaultRowHeight="12.75" x14ac:dyDescent="0.2"/>
  <cols>
    <col min="1" max="1" width="28.28515625" customWidth="1"/>
    <col min="2" max="2" width="13.5703125" customWidth="1"/>
  </cols>
  <sheetData>
    <row r="1" spans="1:3" x14ac:dyDescent="0.2">
      <c r="A1" s="13" t="s">
        <v>114</v>
      </c>
      <c r="B1" s="13"/>
      <c r="C1" s="13"/>
    </row>
    <row r="2" spans="1:3" x14ac:dyDescent="0.2">
      <c r="A2" s="13" t="s">
        <v>19</v>
      </c>
      <c r="B2" s="13"/>
    </row>
    <row r="4" spans="1:3" x14ac:dyDescent="0.2">
      <c r="A4" s="1" t="s">
        <v>14</v>
      </c>
    </row>
    <row r="5" spans="1:3" x14ac:dyDescent="0.2">
      <c r="A5" s="1" t="s">
        <v>241</v>
      </c>
    </row>
    <row r="6" spans="1:3" x14ac:dyDescent="0.2">
      <c r="A6" s="12" t="s">
        <v>176</v>
      </c>
      <c r="B6" s="1">
        <v>137</v>
      </c>
    </row>
    <row r="7" spans="1:3" x14ac:dyDescent="0.2">
      <c r="A7" s="12" t="s">
        <v>177</v>
      </c>
      <c r="B7" s="1">
        <v>178</v>
      </c>
    </row>
    <row r="8" spans="1:3" x14ac:dyDescent="0.2">
      <c r="A8" s="12" t="s">
        <v>65</v>
      </c>
      <c r="B8" s="1">
        <v>176</v>
      </c>
    </row>
    <row r="9" spans="1:3" x14ac:dyDescent="0.2">
      <c r="A9" s="12" t="s">
        <v>178</v>
      </c>
      <c r="B9" s="1">
        <v>212</v>
      </c>
    </row>
    <row r="10" spans="1:3" x14ac:dyDescent="0.2">
      <c r="A10" s="12" t="s">
        <v>179</v>
      </c>
      <c r="B10" s="1">
        <v>162</v>
      </c>
    </row>
    <row r="11" spans="1:3" x14ac:dyDescent="0.2">
      <c r="A11" s="12" t="s">
        <v>180</v>
      </c>
      <c r="B11" s="1">
        <v>159</v>
      </c>
    </row>
    <row r="12" spans="1:3" x14ac:dyDescent="0.2">
      <c r="A12" s="12" t="s">
        <v>66</v>
      </c>
      <c r="B12" s="1">
        <v>183</v>
      </c>
    </row>
    <row r="13" spans="1:3" x14ac:dyDescent="0.2">
      <c r="A13" s="12" t="s">
        <v>67</v>
      </c>
      <c r="B13" s="1">
        <v>210</v>
      </c>
    </row>
    <row r="14" spans="1:3" x14ac:dyDescent="0.2">
      <c r="A14" s="12" t="s">
        <v>181</v>
      </c>
      <c r="B14" s="1">
        <v>157</v>
      </c>
    </row>
    <row r="15" spans="1:3" x14ac:dyDescent="0.2">
      <c r="A15" s="12" t="s">
        <v>68</v>
      </c>
      <c r="B15" s="1">
        <v>198</v>
      </c>
    </row>
    <row r="16" spans="1:3" x14ac:dyDescent="0.2">
      <c r="A16" s="12" t="s">
        <v>182</v>
      </c>
      <c r="B16" s="1">
        <v>191</v>
      </c>
    </row>
    <row r="17" spans="1:2" x14ac:dyDescent="0.2">
      <c r="A17" s="12" t="s">
        <v>183</v>
      </c>
      <c r="B17" s="1">
        <v>152</v>
      </c>
    </row>
    <row r="18" spans="1:2" x14ac:dyDescent="0.2">
      <c r="A18" s="12" t="s">
        <v>184</v>
      </c>
      <c r="B18" s="1">
        <v>161</v>
      </c>
    </row>
    <row r="19" spans="1:2" x14ac:dyDescent="0.2">
      <c r="A19" s="12" t="s">
        <v>185</v>
      </c>
      <c r="B19" s="1">
        <v>180</v>
      </c>
    </row>
    <row r="20" spans="1:2" x14ac:dyDescent="0.2">
      <c r="A20" s="12" t="s">
        <v>186</v>
      </c>
      <c r="B20" s="1">
        <v>156</v>
      </c>
    </row>
    <row r="21" spans="1:2" x14ac:dyDescent="0.2">
      <c r="A21" s="12" t="s">
        <v>187</v>
      </c>
      <c r="B21" s="1">
        <v>139</v>
      </c>
    </row>
    <row r="22" spans="1:2" x14ac:dyDescent="0.2">
      <c r="A22" s="12" t="s">
        <v>188</v>
      </c>
      <c r="B22" s="1">
        <v>169</v>
      </c>
    </row>
    <row r="23" spans="1:2" x14ac:dyDescent="0.2">
      <c r="A23" s="12" t="s">
        <v>69</v>
      </c>
      <c r="B23" s="1">
        <v>146</v>
      </c>
    </row>
    <row r="24" spans="1:2" x14ac:dyDescent="0.2">
      <c r="A24" s="12" t="s">
        <v>189</v>
      </c>
      <c r="B24" s="1">
        <v>201</v>
      </c>
    </row>
    <row r="25" spans="1:2" x14ac:dyDescent="0.2">
      <c r="A25" s="11" t="s">
        <v>190</v>
      </c>
      <c r="B25" s="1">
        <v>152</v>
      </c>
    </row>
    <row r="26" spans="1:2" x14ac:dyDescent="0.2">
      <c r="A26" s="11" t="s">
        <v>191</v>
      </c>
      <c r="B26" s="1">
        <v>152</v>
      </c>
    </row>
    <row r="27" spans="1:2" x14ac:dyDescent="0.2">
      <c r="A27" s="11" t="s">
        <v>192</v>
      </c>
      <c r="B27" s="1">
        <v>150</v>
      </c>
    </row>
    <row r="28" spans="1:2" x14ac:dyDescent="0.2">
      <c r="A28" s="11" t="s">
        <v>193</v>
      </c>
      <c r="B28" s="1">
        <v>189</v>
      </c>
    </row>
    <row r="29" spans="1:2" x14ac:dyDescent="0.2">
      <c r="A29" s="11" t="s">
        <v>194</v>
      </c>
      <c r="B29" s="1">
        <v>177</v>
      </c>
    </row>
    <row r="30" spans="1:2" x14ac:dyDescent="0.2">
      <c r="A30" s="2" t="s">
        <v>24</v>
      </c>
      <c r="B30" s="2">
        <v>11</v>
      </c>
    </row>
    <row r="31" spans="1:2" x14ac:dyDescent="0.2">
      <c r="A31" s="2" t="s">
        <v>25</v>
      </c>
      <c r="B31" s="2">
        <v>7494</v>
      </c>
    </row>
    <row r="32" spans="1:2" x14ac:dyDescent="0.2">
      <c r="A32" s="1" t="s">
        <v>9</v>
      </c>
      <c r="B32" s="1">
        <f>SUM(B6:B31)</f>
        <v>11592</v>
      </c>
    </row>
    <row r="33" spans="1:2" x14ac:dyDescent="0.2">
      <c r="A33" s="1"/>
      <c r="B33" s="1"/>
    </row>
    <row r="34" spans="1:2" x14ac:dyDescent="0.2">
      <c r="A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2"/>
    </row>
    <row r="38" spans="1:2" x14ac:dyDescent="0.2">
      <c r="A38" s="1"/>
      <c r="B38" s="1"/>
    </row>
  </sheetData>
  <mergeCells count="2">
    <mergeCell ref="A2:B2"/>
    <mergeCell ref="A1:C1"/>
  </mergeCells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pane ySplit="2" topLeftCell="A3" activePane="bottomLeft" state="frozen"/>
      <selection pane="bottomLeft" activeCell="C14" sqref="C14"/>
    </sheetView>
  </sheetViews>
  <sheetFormatPr defaultRowHeight="12.75" x14ac:dyDescent="0.2"/>
  <cols>
    <col min="1" max="1" width="25" customWidth="1"/>
    <col min="2" max="2" width="13.5703125" customWidth="1"/>
    <col min="6" max="6" width="20.7109375" bestFit="1" customWidth="1"/>
  </cols>
  <sheetData>
    <row r="1" spans="1:7" x14ac:dyDescent="0.2">
      <c r="A1" s="13" t="s">
        <v>114</v>
      </c>
      <c r="B1" s="13"/>
      <c r="C1" s="13"/>
    </row>
    <row r="2" spans="1:7" x14ac:dyDescent="0.2">
      <c r="A2" s="13" t="s">
        <v>20</v>
      </c>
      <c r="B2" s="13"/>
    </row>
    <row r="4" spans="1:7" x14ac:dyDescent="0.2">
      <c r="A4" s="1" t="s">
        <v>14</v>
      </c>
    </row>
    <row r="5" spans="1:7" x14ac:dyDescent="0.2">
      <c r="A5" s="1" t="s">
        <v>242</v>
      </c>
      <c r="F5" s="1"/>
      <c r="G5" s="1"/>
    </row>
    <row r="6" spans="1:7" x14ac:dyDescent="0.2">
      <c r="A6" s="11" t="s">
        <v>195</v>
      </c>
      <c r="B6" s="1">
        <v>229</v>
      </c>
      <c r="F6" s="1"/>
      <c r="G6" s="1"/>
    </row>
    <row r="7" spans="1:7" x14ac:dyDescent="0.2">
      <c r="A7" s="12" t="s">
        <v>89</v>
      </c>
      <c r="B7" s="1">
        <v>337</v>
      </c>
      <c r="F7" s="1"/>
      <c r="G7" s="1"/>
    </row>
    <row r="8" spans="1:7" x14ac:dyDescent="0.2">
      <c r="A8" s="9" t="s">
        <v>196</v>
      </c>
      <c r="B8">
        <v>154</v>
      </c>
      <c r="F8" s="1"/>
      <c r="G8" s="1"/>
    </row>
    <row r="9" spans="1:7" x14ac:dyDescent="0.2">
      <c r="A9" s="12" t="s">
        <v>197</v>
      </c>
      <c r="B9" s="1">
        <v>187</v>
      </c>
      <c r="F9" s="1"/>
      <c r="G9" s="1"/>
    </row>
    <row r="10" spans="1:7" x14ac:dyDescent="0.2">
      <c r="A10" s="12" t="s">
        <v>198</v>
      </c>
      <c r="B10" s="1">
        <v>229</v>
      </c>
      <c r="F10" s="1"/>
      <c r="G10" s="1"/>
    </row>
    <row r="11" spans="1:7" x14ac:dyDescent="0.2">
      <c r="A11" s="12" t="s">
        <v>70</v>
      </c>
      <c r="B11" s="1">
        <v>251</v>
      </c>
      <c r="F11" s="1"/>
      <c r="G11" s="1"/>
    </row>
    <row r="12" spans="1:7" x14ac:dyDescent="0.2">
      <c r="A12" s="12" t="s">
        <v>222</v>
      </c>
      <c r="B12" s="1">
        <v>304</v>
      </c>
      <c r="F12" s="1"/>
      <c r="G12" s="1"/>
    </row>
    <row r="13" spans="1:7" x14ac:dyDescent="0.2">
      <c r="A13" s="12" t="s">
        <v>199</v>
      </c>
      <c r="B13" s="1">
        <v>210</v>
      </c>
      <c r="F13" s="1"/>
      <c r="G13" s="1"/>
    </row>
    <row r="14" spans="1:7" x14ac:dyDescent="0.2">
      <c r="A14" s="12" t="s">
        <v>71</v>
      </c>
      <c r="B14" s="1">
        <v>269</v>
      </c>
      <c r="F14" s="1"/>
      <c r="G14" s="1"/>
    </row>
    <row r="15" spans="1:7" x14ac:dyDescent="0.2">
      <c r="A15" s="11" t="s">
        <v>200</v>
      </c>
      <c r="B15" s="1">
        <v>170</v>
      </c>
      <c r="F15" s="1"/>
      <c r="G15" s="1"/>
    </row>
    <row r="16" spans="1:7" x14ac:dyDescent="0.2">
      <c r="A16" s="12" t="s">
        <v>201</v>
      </c>
      <c r="B16" s="1">
        <v>185</v>
      </c>
      <c r="F16" s="1"/>
      <c r="G16" s="1"/>
    </row>
    <row r="17" spans="1:7" x14ac:dyDescent="0.2">
      <c r="A17" s="12" t="s">
        <v>202</v>
      </c>
      <c r="B17" s="1">
        <v>167</v>
      </c>
      <c r="F17" s="1"/>
      <c r="G17" s="1"/>
    </row>
    <row r="18" spans="1:7" x14ac:dyDescent="0.2">
      <c r="A18" s="12" t="s">
        <v>72</v>
      </c>
      <c r="B18" s="1">
        <v>244</v>
      </c>
      <c r="F18" s="1"/>
      <c r="G18" s="1"/>
    </row>
    <row r="19" spans="1:7" x14ac:dyDescent="0.2">
      <c r="A19" s="12" t="s">
        <v>203</v>
      </c>
      <c r="B19" s="1">
        <v>169</v>
      </c>
      <c r="F19" s="1"/>
      <c r="G19" s="1"/>
    </row>
    <row r="20" spans="1:7" x14ac:dyDescent="0.2">
      <c r="A20" s="12" t="s">
        <v>204</v>
      </c>
      <c r="B20" s="1">
        <v>170</v>
      </c>
      <c r="F20" s="1"/>
      <c r="G20" s="1"/>
    </row>
    <row r="21" spans="1:7" x14ac:dyDescent="0.2">
      <c r="A21" s="12" t="s">
        <v>73</v>
      </c>
      <c r="B21" s="1">
        <v>182</v>
      </c>
      <c r="F21" s="1"/>
      <c r="G21" s="1"/>
    </row>
    <row r="22" spans="1:7" x14ac:dyDescent="0.2">
      <c r="A22" s="12" t="s">
        <v>74</v>
      </c>
      <c r="B22" s="1">
        <v>199</v>
      </c>
      <c r="F22" s="1"/>
      <c r="G22" s="1"/>
    </row>
    <row r="23" spans="1:7" x14ac:dyDescent="0.2">
      <c r="A23" s="12" t="s">
        <v>205</v>
      </c>
      <c r="B23" s="1">
        <v>184</v>
      </c>
      <c r="F23" s="1"/>
      <c r="G23" s="1"/>
    </row>
    <row r="24" spans="1:7" x14ac:dyDescent="0.2">
      <c r="A24" s="12" t="s">
        <v>206</v>
      </c>
      <c r="B24" s="1">
        <v>233</v>
      </c>
      <c r="F24" s="1"/>
      <c r="G24" s="1"/>
    </row>
    <row r="25" spans="1:7" x14ac:dyDescent="0.2">
      <c r="A25" s="12" t="s">
        <v>223</v>
      </c>
      <c r="B25" s="1">
        <v>282</v>
      </c>
      <c r="F25" s="1"/>
      <c r="G25" s="1"/>
    </row>
    <row r="26" spans="1:7" x14ac:dyDescent="0.2">
      <c r="A26" s="12" t="s">
        <v>207</v>
      </c>
      <c r="B26" s="1">
        <v>171</v>
      </c>
      <c r="F26" s="1"/>
      <c r="G26" s="1"/>
    </row>
    <row r="27" spans="1:7" x14ac:dyDescent="0.2">
      <c r="A27" s="12" t="s">
        <v>208</v>
      </c>
      <c r="B27" s="1">
        <v>177</v>
      </c>
      <c r="F27" s="1"/>
      <c r="G27" s="1"/>
    </row>
    <row r="28" spans="1:7" x14ac:dyDescent="0.2">
      <c r="A28" s="12" t="s">
        <v>75</v>
      </c>
      <c r="B28" s="1">
        <v>223</v>
      </c>
      <c r="F28" s="1"/>
      <c r="G28" s="1"/>
    </row>
    <row r="29" spans="1:7" x14ac:dyDescent="0.2">
      <c r="A29" s="12" t="s">
        <v>76</v>
      </c>
      <c r="B29" s="1">
        <v>158</v>
      </c>
      <c r="F29" s="1"/>
      <c r="G29" s="1"/>
    </row>
    <row r="30" spans="1:7" x14ac:dyDescent="0.2">
      <c r="A30" s="9" t="s">
        <v>209</v>
      </c>
      <c r="B30" s="2">
        <v>134</v>
      </c>
      <c r="F30" s="1"/>
      <c r="G30" s="1"/>
    </row>
    <row r="31" spans="1:7" x14ac:dyDescent="0.2">
      <c r="A31" s="11" t="s">
        <v>77</v>
      </c>
      <c r="B31" s="1">
        <v>218</v>
      </c>
      <c r="F31" s="1"/>
      <c r="G31" s="1"/>
    </row>
    <row r="32" spans="1:7" x14ac:dyDescent="0.2">
      <c r="A32" s="2" t="s">
        <v>24</v>
      </c>
      <c r="B32" s="2">
        <v>9</v>
      </c>
    </row>
    <row r="33" spans="1:2" x14ac:dyDescent="0.2">
      <c r="A33" s="2" t="s">
        <v>25</v>
      </c>
      <c r="B33" s="2">
        <v>7323</v>
      </c>
    </row>
    <row r="34" spans="1:2" x14ac:dyDescent="0.2">
      <c r="A34" s="1" t="s">
        <v>9</v>
      </c>
      <c r="B34" s="1">
        <f>SUM(B6:B33)</f>
        <v>12768</v>
      </c>
    </row>
    <row r="35" spans="1:2" x14ac:dyDescent="0.2">
      <c r="A35" s="2"/>
    </row>
    <row r="36" spans="1:2" x14ac:dyDescent="0.2">
      <c r="A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2"/>
    </row>
    <row r="40" spans="1:2" x14ac:dyDescent="0.2">
      <c r="A40" s="1"/>
      <c r="B40" s="1"/>
    </row>
  </sheetData>
  <sortState ref="F5:G19">
    <sortCondition ref="G5:G19"/>
  </sortState>
  <mergeCells count="2">
    <mergeCell ref="A2:B2"/>
    <mergeCell ref="A1:C1"/>
  </mergeCells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activeCell="B32" sqref="B32"/>
    </sheetView>
  </sheetViews>
  <sheetFormatPr defaultRowHeight="12.75" x14ac:dyDescent="0.2"/>
  <cols>
    <col min="1" max="1" width="27.42578125" customWidth="1"/>
    <col min="2" max="2" width="10.85546875" customWidth="1"/>
    <col min="5" max="5" width="28" bestFit="1" customWidth="1"/>
  </cols>
  <sheetData>
    <row r="1" spans="1:3" x14ac:dyDescent="0.2">
      <c r="A1" s="13" t="s">
        <v>114</v>
      </c>
      <c r="B1" s="13"/>
      <c r="C1" s="13"/>
    </row>
    <row r="2" spans="1:3" x14ac:dyDescent="0.2">
      <c r="A2" s="13" t="s">
        <v>21</v>
      </c>
      <c r="B2" s="13"/>
    </row>
    <row r="4" spans="1:3" x14ac:dyDescent="0.2">
      <c r="A4" s="1" t="s">
        <v>14</v>
      </c>
    </row>
    <row r="5" spans="1:3" x14ac:dyDescent="0.2">
      <c r="A5" s="1" t="s">
        <v>241</v>
      </c>
    </row>
    <row r="6" spans="1:3" x14ac:dyDescent="0.2">
      <c r="A6" s="12" t="s">
        <v>78</v>
      </c>
      <c r="B6" s="1">
        <v>137</v>
      </c>
    </row>
    <row r="7" spans="1:3" x14ac:dyDescent="0.2">
      <c r="A7" s="12" t="s">
        <v>210</v>
      </c>
      <c r="B7" s="1">
        <v>129</v>
      </c>
    </row>
    <row r="8" spans="1:3" x14ac:dyDescent="0.2">
      <c r="A8" s="12" t="s">
        <v>29</v>
      </c>
      <c r="B8" s="1">
        <v>133</v>
      </c>
    </row>
    <row r="9" spans="1:3" x14ac:dyDescent="0.2">
      <c r="A9" s="12" t="s">
        <v>79</v>
      </c>
      <c r="B9" s="1">
        <v>136</v>
      </c>
    </row>
    <row r="10" spans="1:3" x14ac:dyDescent="0.2">
      <c r="A10" s="12" t="s">
        <v>211</v>
      </c>
      <c r="B10" s="1">
        <v>111</v>
      </c>
    </row>
    <row r="11" spans="1:3" x14ac:dyDescent="0.2">
      <c r="A11" s="12" t="s">
        <v>212</v>
      </c>
      <c r="B11" s="1">
        <v>118</v>
      </c>
    </row>
    <row r="12" spans="1:3" x14ac:dyDescent="0.2">
      <c r="A12" s="12" t="s">
        <v>213</v>
      </c>
      <c r="B12" s="1">
        <v>105</v>
      </c>
    </row>
    <row r="13" spans="1:3" x14ac:dyDescent="0.2">
      <c r="A13" s="12" t="s">
        <v>214</v>
      </c>
      <c r="B13" s="1">
        <v>123</v>
      </c>
    </row>
    <row r="14" spans="1:3" x14ac:dyDescent="0.2">
      <c r="A14" s="12" t="s">
        <v>215</v>
      </c>
      <c r="B14" s="1">
        <v>106</v>
      </c>
    </row>
    <row r="15" spans="1:3" x14ac:dyDescent="0.2">
      <c r="A15" s="12" t="s">
        <v>80</v>
      </c>
      <c r="B15" s="1">
        <v>124</v>
      </c>
    </row>
    <row r="16" spans="1:3" x14ac:dyDescent="0.2">
      <c r="A16" s="12" t="s">
        <v>216</v>
      </c>
      <c r="B16" s="1">
        <v>123</v>
      </c>
    </row>
    <row r="17" spans="1:2" x14ac:dyDescent="0.2">
      <c r="A17" s="12" t="s">
        <v>217</v>
      </c>
      <c r="B17" s="1">
        <v>120</v>
      </c>
    </row>
    <row r="18" spans="1:2" x14ac:dyDescent="0.2">
      <c r="A18" s="11" t="s">
        <v>218</v>
      </c>
      <c r="B18" s="1">
        <v>100</v>
      </c>
    </row>
    <row r="19" spans="1:2" x14ac:dyDescent="0.2">
      <c r="A19" s="11" t="s">
        <v>219</v>
      </c>
      <c r="B19" s="1">
        <v>123</v>
      </c>
    </row>
    <row r="20" spans="1:2" x14ac:dyDescent="0.2">
      <c r="A20" s="11" t="s">
        <v>220</v>
      </c>
      <c r="B20" s="1">
        <v>140</v>
      </c>
    </row>
    <row r="21" spans="1:2" x14ac:dyDescent="0.2">
      <c r="A21" s="11" t="s">
        <v>221</v>
      </c>
      <c r="B21" s="1">
        <v>99</v>
      </c>
    </row>
    <row r="22" spans="1:2" x14ac:dyDescent="0.2">
      <c r="A22" s="11" t="s">
        <v>265</v>
      </c>
      <c r="B22" s="1">
        <v>11</v>
      </c>
    </row>
    <row r="23" spans="1:2" x14ac:dyDescent="0.2">
      <c r="A23" s="11" t="s">
        <v>266</v>
      </c>
      <c r="B23" s="1">
        <v>61</v>
      </c>
    </row>
    <row r="24" spans="1:2" x14ac:dyDescent="0.2">
      <c r="A24" s="11" t="s">
        <v>267</v>
      </c>
      <c r="B24" s="1">
        <v>3</v>
      </c>
    </row>
    <row r="25" spans="1:2" x14ac:dyDescent="0.2">
      <c r="A25" s="11" t="s">
        <v>268</v>
      </c>
      <c r="B25" s="1">
        <v>13</v>
      </c>
    </row>
    <row r="26" spans="1:2" x14ac:dyDescent="0.2">
      <c r="A26" s="11" t="s">
        <v>269</v>
      </c>
      <c r="B26" s="1">
        <v>3</v>
      </c>
    </row>
    <row r="27" spans="1:2" x14ac:dyDescent="0.2">
      <c r="A27" s="11" t="s">
        <v>270</v>
      </c>
      <c r="B27" s="1">
        <v>6</v>
      </c>
    </row>
    <row r="28" spans="1:2" x14ac:dyDescent="0.2">
      <c r="A28" s="11" t="s">
        <v>271</v>
      </c>
      <c r="B28" s="1">
        <v>4</v>
      </c>
    </row>
    <row r="29" spans="1:2" x14ac:dyDescent="0.2">
      <c r="A29" s="11" t="s">
        <v>272</v>
      </c>
      <c r="B29" s="1">
        <v>96</v>
      </c>
    </row>
    <row r="30" spans="1:2" x14ac:dyDescent="0.2">
      <c r="A30" s="2" t="s">
        <v>24</v>
      </c>
      <c r="B30" s="2">
        <v>11</v>
      </c>
    </row>
    <row r="31" spans="1:2" x14ac:dyDescent="0.2">
      <c r="A31" s="2" t="s">
        <v>25</v>
      </c>
      <c r="B31" s="2">
        <v>5593</v>
      </c>
    </row>
    <row r="32" spans="1:2" x14ac:dyDescent="0.2">
      <c r="A32" s="1" t="s">
        <v>9</v>
      </c>
      <c r="B32" s="1">
        <f>SUM(B6:B31)</f>
        <v>7728</v>
      </c>
    </row>
    <row r="33" spans="1:2" x14ac:dyDescent="0.2">
      <c r="A33" s="2"/>
    </row>
    <row r="34" spans="1:2" x14ac:dyDescent="0.2">
      <c r="A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2"/>
    </row>
    <row r="38" spans="1:2" x14ac:dyDescent="0.2">
      <c r="A38" s="1"/>
      <c r="B38" s="1"/>
    </row>
  </sheetData>
  <sortState ref="E6:F12">
    <sortCondition ref="F6:F12"/>
  </sortState>
  <mergeCells count="2">
    <mergeCell ref="A2:B2"/>
    <mergeCell ref="A1:C1"/>
  </mergeCells>
  <phoneticPr fontId="0" type="noConversion"/>
  <printOptions gridLines="1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A36" sqref="A36"/>
    </sheetView>
  </sheetViews>
  <sheetFormatPr defaultRowHeight="12.75" x14ac:dyDescent="0.2"/>
  <cols>
    <col min="1" max="1" width="28" bestFit="1" customWidth="1"/>
    <col min="2" max="2" width="15.28515625" customWidth="1"/>
  </cols>
  <sheetData>
    <row r="1" spans="1:3" x14ac:dyDescent="0.2">
      <c r="A1" s="13" t="s">
        <v>114</v>
      </c>
      <c r="B1" s="13"/>
      <c r="C1" s="13"/>
    </row>
    <row r="2" spans="1:3" x14ac:dyDescent="0.2">
      <c r="A2" s="13" t="s">
        <v>22</v>
      </c>
      <c r="B2" s="13"/>
    </row>
    <row r="4" spans="1:3" x14ac:dyDescent="0.2">
      <c r="A4" s="1" t="s">
        <v>14</v>
      </c>
    </row>
    <row r="5" spans="1:3" x14ac:dyDescent="0.2">
      <c r="A5" s="1" t="s">
        <v>243</v>
      </c>
    </row>
    <row r="6" spans="1:3" x14ac:dyDescent="0.2">
      <c r="A6" s="11" t="s">
        <v>224</v>
      </c>
      <c r="B6" s="1">
        <v>182</v>
      </c>
    </row>
    <row r="7" spans="1:3" x14ac:dyDescent="0.2">
      <c r="A7" s="12" t="s">
        <v>225</v>
      </c>
      <c r="B7" s="1">
        <v>167</v>
      </c>
    </row>
    <row r="8" spans="1:3" x14ac:dyDescent="0.2">
      <c r="A8" s="12" t="s">
        <v>226</v>
      </c>
      <c r="B8" s="1">
        <v>153</v>
      </c>
    </row>
    <row r="9" spans="1:3" x14ac:dyDescent="0.2">
      <c r="A9" s="12" t="s">
        <v>227</v>
      </c>
      <c r="B9" s="1">
        <v>146</v>
      </c>
    </row>
    <row r="10" spans="1:3" x14ac:dyDescent="0.2">
      <c r="A10" s="12" t="s">
        <v>81</v>
      </c>
      <c r="B10" s="1">
        <v>208</v>
      </c>
    </row>
    <row r="11" spans="1:3" x14ac:dyDescent="0.2">
      <c r="A11" s="12" t="s">
        <v>228</v>
      </c>
      <c r="B11" s="1">
        <v>149</v>
      </c>
    </row>
    <row r="12" spans="1:3" x14ac:dyDescent="0.2">
      <c r="A12" s="12" t="s">
        <v>229</v>
      </c>
      <c r="B12" s="1">
        <v>147</v>
      </c>
    </row>
    <row r="13" spans="1:3" x14ac:dyDescent="0.2">
      <c r="A13" s="12" t="s">
        <v>230</v>
      </c>
      <c r="B13" s="1">
        <v>157</v>
      </c>
    </row>
    <row r="14" spans="1:3" x14ac:dyDescent="0.2">
      <c r="A14" s="12" t="s">
        <v>231</v>
      </c>
      <c r="B14" s="1">
        <v>147</v>
      </c>
    </row>
    <row r="15" spans="1:3" x14ac:dyDescent="0.2">
      <c r="A15" s="12" t="s">
        <v>232</v>
      </c>
      <c r="B15" s="1">
        <v>136</v>
      </c>
    </row>
    <row r="16" spans="1:3" x14ac:dyDescent="0.2">
      <c r="A16" s="12" t="s">
        <v>233</v>
      </c>
      <c r="B16" s="1">
        <v>143</v>
      </c>
    </row>
    <row r="17" spans="1:13" x14ac:dyDescent="0.2">
      <c r="A17" s="12" t="s">
        <v>82</v>
      </c>
      <c r="B17" s="1">
        <v>152</v>
      </c>
    </row>
    <row r="18" spans="1:13" x14ac:dyDescent="0.2">
      <c r="A18" s="12" t="s">
        <v>83</v>
      </c>
      <c r="B18" s="1">
        <v>152</v>
      </c>
    </row>
    <row r="19" spans="1:13" x14ac:dyDescent="0.2">
      <c r="A19" s="12" t="s">
        <v>234</v>
      </c>
      <c r="B19" s="1">
        <v>148</v>
      </c>
    </row>
    <row r="20" spans="1:13" x14ac:dyDescent="0.2">
      <c r="A20" s="12" t="s">
        <v>235</v>
      </c>
      <c r="B20" s="1">
        <v>150</v>
      </c>
    </row>
    <row r="21" spans="1:13" x14ac:dyDescent="0.2">
      <c r="A21" s="11" t="s">
        <v>236</v>
      </c>
      <c r="B21" s="1">
        <v>143</v>
      </c>
    </row>
    <row r="22" spans="1:13" x14ac:dyDescent="0.2">
      <c r="A22" s="11" t="s">
        <v>237</v>
      </c>
      <c r="B22" s="1">
        <v>156</v>
      </c>
    </row>
    <row r="23" spans="1:13" x14ac:dyDescent="0.2">
      <c r="A23" s="11" t="s">
        <v>238</v>
      </c>
      <c r="B23" s="1">
        <v>168</v>
      </c>
    </row>
    <row r="24" spans="1:13" x14ac:dyDescent="0.2">
      <c r="A24" s="11" t="s">
        <v>239</v>
      </c>
      <c r="B24" s="1">
        <v>160</v>
      </c>
    </row>
    <row r="25" spans="1:13" x14ac:dyDescent="0.2">
      <c r="A25" s="11" t="s">
        <v>273</v>
      </c>
      <c r="B25" s="1">
        <v>2</v>
      </c>
    </row>
    <row r="26" spans="1:13" x14ac:dyDescent="0.2">
      <c r="A26" s="11" t="s">
        <v>274</v>
      </c>
      <c r="B26" s="1">
        <v>6</v>
      </c>
    </row>
    <row r="27" spans="1:13" x14ac:dyDescent="0.2">
      <c r="A27" s="11" t="s">
        <v>275</v>
      </c>
      <c r="B27" s="1">
        <v>2</v>
      </c>
    </row>
    <row r="28" spans="1:13" x14ac:dyDescent="0.2">
      <c r="A28" s="11" t="s">
        <v>277</v>
      </c>
      <c r="B28" s="1">
        <v>1</v>
      </c>
    </row>
    <row r="29" spans="1:13" x14ac:dyDescent="0.2">
      <c r="A29" s="2" t="s">
        <v>24</v>
      </c>
      <c r="B29" s="2">
        <v>13</v>
      </c>
    </row>
    <row r="30" spans="1:13" x14ac:dyDescent="0.2">
      <c r="A30" s="2" t="s">
        <v>25</v>
      </c>
      <c r="B30" s="2">
        <v>6052</v>
      </c>
    </row>
    <row r="31" spans="1:13" x14ac:dyDescent="0.2">
      <c r="A31" s="1" t="s">
        <v>9</v>
      </c>
      <c r="B31" s="1">
        <f>SUM(B6:B30)</f>
        <v>9040</v>
      </c>
      <c r="M31" s="1"/>
    </row>
    <row r="33" spans="1:2" x14ac:dyDescent="0.2">
      <c r="A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2"/>
    </row>
    <row r="37" spans="1:2" x14ac:dyDescent="0.2">
      <c r="A37" s="1"/>
      <c r="B37" s="1"/>
    </row>
  </sheetData>
  <mergeCells count="2">
    <mergeCell ref="A2:B2"/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Major Office</vt:lpstr>
      <vt:lpstr>TMMPR.1</vt:lpstr>
      <vt:lpstr>TMMPR.2</vt:lpstr>
      <vt:lpstr>TMMPR.3</vt:lpstr>
      <vt:lpstr>TMMPR.4</vt:lpstr>
      <vt:lpstr>TMMPR.5</vt:lpstr>
      <vt:lpstr>TMMPR.6</vt:lpstr>
      <vt:lpstr>TMMPR.7</vt:lpstr>
      <vt:lpstr>TMMPR.8</vt:lpstr>
      <vt:lpstr>TMMPR.9</vt:lpstr>
      <vt:lpstr>TMMPR.10</vt:lpstr>
    </vt:vector>
  </TitlesOfParts>
  <Company>shrewsbury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adagle</dc:creator>
  <cp:lastModifiedBy>Sharyn Thomas</cp:lastModifiedBy>
  <cp:lastPrinted>2020-06-17T17:38:09Z</cp:lastPrinted>
  <dcterms:created xsi:type="dcterms:W3CDTF">2008-05-05T22:41:28Z</dcterms:created>
  <dcterms:modified xsi:type="dcterms:W3CDTF">2022-12-07T16:23:05Z</dcterms:modified>
</cp:coreProperties>
</file>